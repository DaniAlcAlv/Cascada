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\Water-cal-analysis\"/>
    </mc:Choice>
  </mc:AlternateContent>
  <xr:revisionPtr revIDLastSave="0" documentId="13_ncr:1_{F5CEBFEF-C7E8-4D0F-AEEA-902D847137BF}" xr6:coauthVersionLast="47" xr6:coauthVersionMax="47" xr10:uidLastSave="{00000000-0000-0000-0000-000000000000}"/>
  <bookViews>
    <workbookView xWindow="-19310" yWindow="-110" windowWidth="19420" windowHeight="11500" activeTab="1" xr2:uid="{00000000-000D-0000-FFFF-FFFF00000000}"/>
  </bookViews>
  <sheets>
    <sheet name="Sheet1" sheetId="1" r:id="rId1"/>
    <sheet name="Sheet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H8" i="2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D32" i="1"/>
  <c r="D34" i="1"/>
  <c r="E34" i="1"/>
  <c r="F34" i="1"/>
  <c r="G34" i="1"/>
  <c r="I34" i="1"/>
  <c r="J34" i="1"/>
  <c r="K34" i="1"/>
  <c r="L34" i="1"/>
  <c r="M34" i="1"/>
  <c r="N34" i="1"/>
  <c r="O34" i="1"/>
  <c r="P34" i="1"/>
  <c r="Q34" i="1"/>
  <c r="H34" i="1"/>
  <c r="H30" i="1"/>
  <c r="I30" i="1"/>
  <c r="H31" i="1"/>
  <c r="I31" i="1"/>
  <c r="H33" i="1"/>
  <c r="I33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H20" i="1"/>
  <c r="I20" i="1"/>
  <c r="H13" i="1"/>
  <c r="H14" i="1" s="1"/>
  <c r="I13" i="1"/>
  <c r="I14" i="1" s="1"/>
  <c r="H16" i="1"/>
  <c r="I16" i="1"/>
  <c r="R13" i="1"/>
  <c r="R14" i="1" s="1"/>
  <c r="D3" i="2"/>
  <c r="H3" i="2"/>
  <c r="L3" i="2"/>
  <c r="M3" i="2"/>
  <c r="N3" i="2"/>
  <c r="O3" i="2"/>
  <c r="P3" i="2"/>
  <c r="Q3" i="2"/>
  <c r="R3" i="2"/>
  <c r="S3" i="2"/>
  <c r="T3" i="2"/>
  <c r="U3" i="2"/>
  <c r="V3" i="2"/>
  <c r="D4" i="2"/>
  <c r="H4" i="2"/>
  <c r="L4" i="2"/>
  <c r="M4" i="2"/>
  <c r="N4" i="2"/>
  <c r="O4" i="2"/>
  <c r="P4" i="2"/>
  <c r="Q4" i="2"/>
  <c r="R4" i="2"/>
  <c r="S4" i="2"/>
  <c r="T4" i="2"/>
  <c r="U4" i="2"/>
  <c r="V4" i="2"/>
  <c r="D5" i="2"/>
  <c r="H5" i="2"/>
  <c r="L5" i="2"/>
  <c r="M5" i="2"/>
  <c r="N5" i="2"/>
  <c r="O5" i="2"/>
  <c r="P5" i="2"/>
  <c r="Q5" i="2"/>
  <c r="R5" i="2"/>
  <c r="S5" i="2"/>
  <c r="T5" i="2"/>
  <c r="U5" i="2"/>
  <c r="V5" i="2"/>
  <c r="D6" i="2"/>
  <c r="H6" i="2"/>
  <c r="L6" i="2"/>
  <c r="M6" i="2"/>
  <c r="N6" i="2"/>
  <c r="O6" i="2"/>
  <c r="P6" i="2"/>
  <c r="Q6" i="2"/>
  <c r="R6" i="2"/>
  <c r="S6" i="2"/>
  <c r="T6" i="2"/>
  <c r="U6" i="2"/>
  <c r="V6" i="2"/>
  <c r="D7" i="2"/>
  <c r="H7" i="2"/>
  <c r="L7" i="2"/>
  <c r="M7" i="2"/>
  <c r="N7" i="2"/>
  <c r="O7" i="2"/>
  <c r="P7" i="2"/>
  <c r="Q7" i="2"/>
  <c r="R7" i="2"/>
  <c r="S7" i="2"/>
  <c r="T7" i="2"/>
  <c r="U7" i="2"/>
  <c r="V7" i="2"/>
  <c r="D8" i="2"/>
  <c r="L8" i="2"/>
  <c r="M8" i="2"/>
  <c r="N8" i="2"/>
  <c r="O8" i="2"/>
  <c r="P8" i="2"/>
  <c r="Q8" i="2"/>
  <c r="R8" i="2"/>
  <c r="S8" i="2"/>
  <c r="T8" i="2"/>
  <c r="U8" i="2"/>
  <c r="V8" i="2"/>
  <c r="D9" i="2"/>
  <c r="H9" i="2"/>
  <c r="L9" i="2"/>
  <c r="M9" i="2"/>
  <c r="N9" i="2"/>
  <c r="O9" i="2"/>
  <c r="P9" i="2"/>
  <c r="Q9" i="2"/>
  <c r="R9" i="2"/>
  <c r="S9" i="2"/>
  <c r="T9" i="2"/>
  <c r="U9" i="2"/>
  <c r="V9" i="2"/>
  <c r="D10" i="2"/>
  <c r="H10" i="2"/>
  <c r="L10" i="2"/>
  <c r="M10" i="2"/>
  <c r="N10" i="2"/>
  <c r="O10" i="2"/>
  <c r="P10" i="2"/>
  <c r="Q10" i="2"/>
  <c r="R10" i="2"/>
  <c r="S10" i="2"/>
  <c r="T10" i="2"/>
  <c r="U10" i="2"/>
  <c r="V10" i="2"/>
  <c r="D11" i="2"/>
  <c r="H11" i="2"/>
  <c r="L11" i="2"/>
  <c r="M11" i="2"/>
  <c r="N11" i="2"/>
  <c r="O11" i="2"/>
  <c r="P11" i="2"/>
  <c r="Q11" i="2"/>
  <c r="R11" i="2"/>
  <c r="S11" i="2"/>
  <c r="T11" i="2"/>
  <c r="U11" i="2"/>
  <c r="V11" i="2"/>
  <c r="D12" i="2"/>
  <c r="H12" i="2"/>
  <c r="L12" i="2"/>
  <c r="M12" i="2"/>
  <c r="N12" i="2"/>
  <c r="O12" i="2"/>
  <c r="P12" i="2"/>
  <c r="Q12" i="2"/>
  <c r="R12" i="2"/>
  <c r="S12" i="2"/>
  <c r="T12" i="2"/>
  <c r="U12" i="2"/>
  <c r="V12" i="2"/>
  <c r="D13" i="2"/>
  <c r="L13" i="2"/>
  <c r="M13" i="2"/>
  <c r="N13" i="2"/>
  <c r="O13" i="2"/>
  <c r="P13" i="2"/>
  <c r="Q13" i="2"/>
  <c r="R13" i="2"/>
  <c r="S13" i="2"/>
  <c r="T13" i="2"/>
  <c r="U13" i="2"/>
  <c r="V13" i="2"/>
  <c r="D14" i="2"/>
  <c r="H14" i="2"/>
  <c r="L14" i="2"/>
  <c r="M14" i="2"/>
  <c r="N14" i="2"/>
  <c r="O14" i="2"/>
  <c r="P14" i="2"/>
  <c r="Q14" i="2"/>
  <c r="R14" i="2"/>
  <c r="S14" i="2"/>
  <c r="T14" i="2"/>
  <c r="U14" i="2"/>
  <c r="V14" i="2"/>
  <c r="D21" i="1"/>
  <c r="E21" i="1"/>
  <c r="F21" i="1"/>
  <c r="J21" i="1"/>
  <c r="K21" i="1"/>
  <c r="L21" i="1"/>
  <c r="M21" i="1"/>
  <c r="N21" i="1"/>
  <c r="O21" i="1"/>
  <c r="P21" i="1"/>
  <c r="Q21" i="1"/>
  <c r="D22" i="1"/>
  <c r="E22" i="1"/>
  <c r="F22" i="1"/>
  <c r="J22" i="1"/>
  <c r="K22" i="1"/>
  <c r="L22" i="1"/>
  <c r="M22" i="1"/>
  <c r="N22" i="1"/>
  <c r="O22" i="1"/>
  <c r="P22" i="1"/>
  <c r="Q22" i="1"/>
  <c r="D23" i="1"/>
  <c r="E23" i="1"/>
  <c r="F23" i="1"/>
  <c r="J23" i="1"/>
  <c r="K23" i="1"/>
  <c r="L23" i="1"/>
  <c r="M23" i="1"/>
  <c r="N23" i="1"/>
  <c r="O23" i="1"/>
  <c r="P23" i="1"/>
  <c r="Q23" i="1"/>
  <c r="D24" i="1"/>
  <c r="E24" i="1"/>
  <c r="F24" i="1"/>
  <c r="J24" i="1"/>
  <c r="K24" i="1"/>
  <c r="L24" i="1"/>
  <c r="M24" i="1"/>
  <c r="N24" i="1"/>
  <c r="O24" i="1"/>
  <c r="P24" i="1"/>
  <c r="Q24" i="1"/>
  <c r="D25" i="1"/>
  <c r="E25" i="1"/>
  <c r="F25" i="1"/>
  <c r="J25" i="1"/>
  <c r="K25" i="1"/>
  <c r="L25" i="1"/>
  <c r="M25" i="1"/>
  <c r="N25" i="1"/>
  <c r="O25" i="1"/>
  <c r="P25" i="1"/>
  <c r="Q25" i="1"/>
  <c r="D26" i="1"/>
  <c r="J26" i="1"/>
  <c r="K26" i="1"/>
  <c r="L26" i="1"/>
  <c r="M26" i="1"/>
  <c r="N26" i="1"/>
  <c r="O26" i="1"/>
  <c r="P26" i="1"/>
  <c r="Q26" i="1"/>
  <c r="E20" i="1"/>
  <c r="F20" i="1"/>
  <c r="G20" i="1"/>
  <c r="J20" i="1"/>
  <c r="K20" i="1"/>
  <c r="L20" i="1"/>
  <c r="M20" i="1"/>
  <c r="N20" i="1"/>
  <c r="O20" i="1"/>
  <c r="P20" i="1"/>
  <c r="Q20" i="1"/>
  <c r="D20" i="1"/>
  <c r="D16" i="1"/>
  <c r="Q16" i="1"/>
  <c r="E16" i="1"/>
  <c r="F16" i="1"/>
  <c r="G16" i="1"/>
  <c r="J16" i="1"/>
  <c r="K16" i="1"/>
  <c r="L16" i="1"/>
  <c r="M16" i="1"/>
  <c r="N16" i="1"/>
  <c r="O16" i="1"/>
  <c r="P16" i="1"/>
  <c r="L13" i="1"/>
  <c r="L14" i="1" s="1"/>
  <c r="K13" i="1"/>
  <c r="K14" i="1" s="1"/>
  <c r="D13" i="1"/>
  <c r="D14" i="1" s="1"/>
  <c r="Q13" i="1"/>
  <c r="Q14" i="1" s="1"/>
  <c r="P13" i="1"/>
  <c r="P14" i="1" s="1"/>
  <c r="G13" i="1"/>
  <c r="G14" i="1" s="1"/>
  <c r="J13" i="1"/>
  <c r="J14" i="1" s="1"/>
  <c r="E13" i="1"/>
  <c r="E14" i="1" s="1"/>
  <c r="M13" i="1"/>
  <c r="M14" i="1" s="1"/>
  <c r="N13" i="1"/>
  <c r="N14" i="1" s="1"/>
  <c r="O13" i="1"/>
  <c r="O14" i="1" s="1"/>
  <c r="U16" i="1"/>
  <c r="V16" i="1"/>
  <c r="R16" i="1"/>
  <c r="U13" i="1"/>
  <c r="V13" i="1"/>
  <c r="T3" i="1"/>
  <c r="T4" i="1"/>
  <c r="T5" i="1"/>
  <c r="T6" i="1"/>
  <c r="T7" i="1"/>
  <c r="T8" i="1"/>
  <c r="T9" i="1"/>
  <c r="S4" i="1"/>
  <c r="S5" i="1"/>
  <c r="S6" i="1"/>
  <c r="S7" i="1"/>
  <c r="S8" i="1"/>
  <c r="S9" i="1"/>
  <c r="S3" i="1"/>
  <c r="F33" i="1" l="1"/>
  <c r="Q30" i="1"/>
  <c r="Q31" i="1" s="1"/>
  <c r="E30" i="1"/>
  <c r="E31" i="1" s="1"/>
  <c r="L30" i="1"/>
  <c r="L31" i="1" s="1"/>
  <c r="O33" i="1"/>
  <c r="J30" i="1"/>
  <c r="J31" i="1" s="1"/>
  <c r="O30" i="1"/>
  <c r="O31" i="1" s="1"/>
  <c r="D30" i="1"/>
  <c r="D31" i="1" s="1"/>
  <c r="K33" i="1"/>
  <c r="G30" i="1"/>
  <c r="G31" i="1" s="1"/>
  <c r="N30" i="1"/>
  <c r="N31" i="1" s="1"/>
  <c r="P33" i="1"/>
  <c r="F30" i="1"/>
  <c r="F31" i="1" s="1"/>
  <c r="N33" i="1"/>
  <c r="E33" i="1"/>
  <c r="D33" i="1"/>
  <c r="G33" i="1"/>
  <c r="P30" i="1"/>
  <c r="P31" i="1" s="1"/>
  <c r="Q33" i="1"/>
  <c r="L33" i="1"/>
  <c r="K30" i="1"/>
  <c r="K31" i="1" s="1"/>
  <c r="M30" i="1"/>
  <c r="M31" i="1" s="1"/>
  <c r="J33" i="1"/>
  <c r="M33" i="1"/>
  <c r="F13" i="1"/>
  <c r="F14" i="1" s="1"/>
  <c r="V15" i="1"/>
  <c r="T16" i="1"/>
  <c r="S16" i="1"/>
  <c r="U15" i="1"/>
  <c r="S13" i="1"/>
  <c r="S15" i="1" s="1"/>
  <c r="V14" i="1"/>
  <c r="U14" i="1"/>
  <c r="T13" i="1"/>
  <c r="T14" i="1" s="1"/>
  <c r="S14" i="1" l="1"/>
  <c r="T15" i="1"/>
</calcChain>
</file>

<file path=xl/sharedStrings.xml><?xml version="1.0" encoding="utf-8"?>
<sst xmlns="http://schemas.openxmlformats.org/spreadsheetml/2006/main" count="431" uniqueCount="166">
  <si>
    <t>Original</t>
  </si>
  <si>
    <t>SLOPE</t>
  </si>
  <si>
    <t>SLOPE DIFF</t>
  </si>
  <si>
    <t>Mod1</t>
  </si>
  <si>
    <t>Mod2</t>
  </si>
  <si>
    <t>INTERCEPT</t>
  </si>
  <si>
    <t>inv</t>
  </si>
  <si>
    <t>12C</t>
  </si>
  <si>
    <t>12D</t>
  </si>
  <si>
    <t>4A</t>
  </si>
  <si>
    <t>4B</t>
  </si>
  <si>
    <t>4C</t>
  </si>
  <si>
    <t>4D</t>
  </si>
  <si>
    <t>12A</t>
  </si>
  <si>
    <t>13A</t>
  </si>
  <si>
    <t>13B</t>
  </si>
  <si>
    <t>13C</t>
  </si>
  <si>
    <t>13D</t>
  </si>
  <si>
    <t>Ephys5</t>
  </si>
  <si>
    <t>Slope from json</t>
  </si>
  <si>
    <t>Intercept from json</t>
  </si>
  <si>
    <t>12B</t>
  </si>
  <si>
    <t>88-51</t>
  </si>
  <si>
    <t>Weight after Interpolation tx200</t>
  </si>
  <si>
    <t>ms for 5mg (Interpolating)</t>
  </si>
  <si>
    <t>ms for 5mg (using linear regression)</t>
  </si>
  <si>
    <t>PulseSupplyPort0 register</t>
  </si>
  <si>
    <t>Cal R2</t>
  </si>
  <si>
    <t>Cal Intercept</t>
  </si>
  <si>
    <t>slope^-1</t>
  </si>
  <si>
    <t>Cal slope</t>
  </si>
  <si>
    <t>Diff</t>
  </si>
  <si>
    <t>rig</t>
  </si>
  <si>
    <t>Rig</t>
  </si>
  <si>
    <t>Slope</t>
  </si>
  <si>
    <t>Intercept</t>
  </si>
  <si>
    <t>R2</t>
  </si>
  <si>
    <t>{'interval_average':</t>
  </si>
  <si>
    <t>{'0.025':</t>
  </si>
  <si>
    <t>0.0018,</t>
  </si>
  <si>
    <t>'0.05':</t>
  </si>
  <si>
    <t>0.0034999999999999996,</t>
  </si>
  <si>
    <t>'0.075':</t>
  </si>
  <si>
    <t>0.0042,</t>
  </si>
  <si>
    <t>'0.1':</t>
  </si>
  <si>
    <t>0.0053,</t>
  </si>
  <si>
    <t>'0.125':</t>
  </si>
  <si>
    <t>0.0069,</t>
  </si>
  <si>
    <t>'0.175':</t>
  </si>
  <si>
    <t>0.0101,</t>
  </si>
  <si>
    <t>'0.225':</t>
  </si>
  <si>
    <t>0.0134},</t>
  </si>
  <si>
    <t>'slope':</t>
  </si>
  <si>
    <t>0.057197604790419174,</t>
  </si>
  <si>
    <t>'offset':</t>
  </si>
  <si>
    <t>0.00012455089820359068,</t>
  </si>
  <si>
    <t>'r2':</t>
  </si>
  <si>
    <t>0.9901116347680422,</t>
  </si>
  <si>
    <t>'valid_domain':</t>
  </si>
  <si>
    <t>[0.025,</t>
  </si>
  <si>
    <t>0.05,</t>
  </si>
  <si>
    <t>0.075,</t>
  </si>
  <si>
    <t>0.1,</t>
  </si>
  <si>
    <t>0.125,</t>
  </si>
  <si>
    <t>0.175,</t>
  </si>
  <si>
    <t>0.225]}</t>
  </si>
  <si>
    <t>{'0.03':</t>
  </si>
  <si>
    <t>0.0020499999999999997,</t>
  </si>
  <si>
    <t>0.0032,</t>
  </si>
  <si>
    <t>'0.08':</t>
  </si>
  <si>
    <t>0.0044,</t>
  </si>
  <si>
    <t>0.00525,</t>
  </si>
  <si>
    <t>'0.12':</t>
  </si>
  <si>
    <t>0.0063,</t>
  </si>
  <si>
    <t>'0.17':</t>
  </si>
  <si>
    <t>0.00945,</t>
  </si>
  <si>
    <t>'0.2':</t>
  </si>
  <si>
    <t>0.01115},</t>
  </si>
  <si>
    <t>0.05331030150753767,</t>
  </si>
  <si>
    <t>0.0002596105527638221,</t>
  </si>
  <si>
    <t>0.9932484389148059,</t>
  </si>
  <si>
    <t>[0.03,</t>
  </si>
  <si>
    <t>0.08,</t>
  </si>
  <si>
    <t>0.12,</t>
  </si>
  <si>
    <t>0.17,</t>
  </si>
  <si>
    <t>0.2]}</t>
  </si>
  <si>
    <t>0.002,</t>
  </si>
  <si>
    <t>0.0033,</t>
  </si>
  <si>
    <t>0.004699999999999999,</t>
  </si>
  <si>
    <t>0.005600000000000001,</t>
  </si>
  <si>
    <t>0.0068000000000000005,</t>
  </si>
  <si>
    <t>0.0105,</t>
  </si>
  <si>
    <t>0.012199999999999999},</t>
  </si>
  <si>
    <t>0.06,</t>
  </si>
  <si>
    <t>-1.0615577889444908e-05,</t>
  </si>
  <si>
    <t>0.9929318512691362,</t>
  </si>
  <si>
    <t>0.0019500000000000001,</t>
  </si>
  <si>
    <t>0.0034000000000000002,</t>
  </si>
  <si>
    <t>0.0048,</t>
  </si>
  <si>
    <t>0.00655,</t>
  </si>
  <si>
    <t>0.00795,</t>
  </si>
  <si>
    <t>0.0129,</t>
  </si>
  <si>
    <t>0.015600000000000001},</t>
  </si>
  <si>
    <t>0.07077245508982036,</t>
  </si>
  <si>
    <t>-0.0002426646706586823,</t>
  </si>
  <si>
    <t>0.9910471444932167,</t>
  </si>
  <si>
    <t>0.38,</t>
  </si>
  <si>
    <t>0.7899999999999999,</t>
  </si>
  <si>
    <t>1.1,</t>
  </si>
  <si>
    <t>1.4,</t>
  </si>
  <si>
    <t>1.7300000000000004,</t>
  </si>
  <si>
    <t>2.4399999999999995,</t>
  </si>
  <si>
    <t>3.16},</t>
  </si>
  <si>
    <t>0.0730351305308716,</t>
  </si>
  <si>
    <t>-0.004055205119941077,</t>
  </si>
  <si>
    <t>0.9989631446623763,</t>
  </si>
  <si>
    <t>0.47999999999999954,</t>
  </si>
  <si>
    <t>0.8200000000000003,</t>
  </si>
  <si>
    <t>1.1399999999999997,</t>
  </si>
  <si>
    <t>1.4899999999999993,</t>
  </si>
  <si>
    <t>1.8100000000000005,</t>
  </si>
  <si>
    <t>2.4700000000000006,</t>
  </si>
  <si>
    <t>3.119999999999999},</t>
  </si>
  <si>
    <t>0.07575945051198293,</t>
  </si>
  <si>
    <t>-0.011907796328680942,</t>
  </si>
  <si>
    <t>0.9999340168773223,</t>
  </si>
  <si>
    <t>0.4800000000000004,</t>
  </si>
  <si>
    <t>1.04,</t>
  </si>
  <si>
    <t>1.3100000000000005,</t>
  </si>
  <si>
    <t>1.629999999999999,</t>
  </si>
  <si>
    <t>2.25,</t>
  </si>
  <si>
    <t>2.880000000000001},</t>
  </si>
  <si>
    <t>0.08385360421166306,</t>
  </si>
  <si>
    <t>-0.013988002834773194,</t>
  </si>
  <si>
    <t>0.9981089488140352,</t>
  </si>
  <si>
    <t>0.00165,</t>
  </si>
  <si>
    <t>0.0052,</t>
  </si>
  <si>
    <t>0.0066,</t>
  </si>
  <si>
    <t>0.00845,</t>
  </si>
  <si>
    <t>0.011850000000000001,</t>
  </si>
  <si>
    <t>0.01505},</t>
  </si>
  <si>
    <t>0.06720958083832337,</t>
  </si>
  <si>
    <t>1.7964071856255842e-06,</t>
  </si>
  <si>
    <t>0.9995552319468254,</t>
  </si>
  <si>
    <t>0.30000000000000004,</t>
  </si>
  <si>
    <t>0.6000000000000001,</t>
  </si>
  <si>
    <t>0.8500000000000001,</t>
  </si>
  <si>
    <t>1.17,</t>
  </si>
  <si>
    <t>1.4899999999999998,</t>
  </si>
  <si>
    <t>2.08,</t>
  </si>
  <si>
    <t>2.579999999999999},</t>
  </si>
  <si>
    <t>0.08637440419105966,</t>
  </si>
  <si>
    <t>-0.0012022637161301503,</t>
  </si>
  <si>
    <t>0.9987363742091988,</t>
  </si>
  <si>
    <t>0.29,</t>
  </si>
  <si>
    <t>0.53,</t>
  </si>
  <si>
    <t>0.79,</t>
  </si>
  <si>
    <t>1.09,</t>
  </si>
  <si>
    <t>1.36,</t>
  </si>
  <si>
    <t>1.96,</t>
  </si>
  <si>
    <t>2.36},</t>
  </si>
  <si>
    <t>0.09342913227300181,</t>
  </si>
  <si>
    <t>0.0011337326353935834,</t>
  </si>
  <si>
    <t>5A</t>
  </si>
  <si>
    <t>5B</t>
  </si>
  <si>
    <t>(ml/1000-intercept)/slope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</si>
</sst>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7EAE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3" fillId="0" borderId="0" xfId="0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2" fontId="0" fillId="0" borderId="1" xfId="0" applyNumberFormat="1" applyBorder="1"/>
    <xf numFmtId="164" fontId="0" fillId="0" borderId="1" xfId="0" applyNumberFormat="1" applyBorder="1"/>
    <xf numFmtId="0" fontId="4" fillId="6" borderId="1" xfId="0" applyFont="1" applyFill="1" applyBorder="1" applyAlignment="1">
      <alignment horizontal="right" vertical="center" wrapText="1" readingOrder="1"/>
    </xf>
    <xf numFmtId="0" fontId="4" fillId="6" borderId="1" xfId="0" applyFont="1" applyFill="1" applyBorder="1" applyAlignment="1">
      <alignment horizontal="left" vertical="center" wrapText="1" readingOrder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Sheet1!$R$3:$R$9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1.7</c:v>
                </c:pt>
                <c:pt idx="6">
                  <c:v>2.12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A8-480A-93DE-859B9D468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Sheet1!$S$3:$S$9</c:f>
              <c:numCache>
                <c:formatCode>General</c:formatCode>
                <c:ptCount val="7"/>
                <c:pt idx="0">
                  <c:v>0.375</c:v>
                </c:pt>
                <c:pt idx="1">
                  <c:v>0.72499999999999998</c:v>
                </c:pt>
                <c:pt idx="2">
                  <c:v>1.0249999999999999</c:v>
                </c:pt>
                <c:pt idx="3">
                  <c:v>1.2875000000000001</c:v>
                </c:pt>
                <c:pt idx="4">
                  <c:v>1.575</c:v>
                </c:pt>
                <c:pt idx="5">
                  <c:v>2.125</c:v>
                </c:pt>
                <c:pt idx="6">
                  <c:v>2.6500000000000004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54-4428-BB03-E9173F995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Sheet1!$T$3:$T$9</c:f>
              <c:numCache>
                <c:formatCode>General</c:formatCode>
                <c:ptCount val="7"/>
                <c:pt idx="0">
                  <c:v>0.44999999999999996</c:v>
                </c:pt>
                <c:pt idx="1">
                  <c:v>0.86999999999999988</c:v>
                </c:pt>
                <c:pt idx="2">
                  <c:v>1.23</c:v>
                </c:pt>
                <c:pt idx="3">
                  <c:v>1.5449999999999999</c:v>
                </c:pt>
                <c:pt idx="4">
                  <c:v>1.8900000000000001</c:v>
                </c:pt>
                <c:pt idx="5">
                  <c:v>2.5499999999999998</c:v>
                </c:pt>
                <c:pt idx="6">
                  <c:v>3.18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E2-460C-879C-7E69DFF02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Sheet1!$U$3:$U$9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1.7</c:v>
                </c:pt>
                <c:pt idx="6">
                  <c:v>3.18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E9-45FF-A710-A0C344E5C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Sheet1!$V$3:$V$9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2.5499999999999998</c:v>
                </c:pt>
                <c:pt idx="6">
                  <c:v>2.12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BDF-4C80-8E5D-2E809006A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cat>
          <c:val>
            <c:numRef>
              <c:f>Sheet1!$R$3:$R$9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1.7</c:v>
                </c:pt>
                <c:pt idx="6">
                  <c:v>2.12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83-4964-87C0-53D165BC1A80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25%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cat>
          <c:val>
            <c:numRef>
              <c:f>Sheet1!$S$3:$S$9</c:f>
              <c:numCache>
                <c:formatCode>General</c:formatCode>
                <c:ptCount val="7"/>
                <c:pt idx="0">
                  <c:v>0.375</c:v>
                </c:pt>
                <c:pt idx="1">
                  <c:v>0.72499999999999998</c:v>
                </c:pt>
                <c:pt idx="2">
                  <c:v>1.0249999999999999</c:v>
                </c:pt>
                <c:pt idx="3">
                  <c:v>1.2875000000000001</c:v>
                </c:pt>
                <c:pt idx="4">
                  <c:v>1.575</c:v>
                </c:pt>
                <c:pt idx="5">
                  <c:v>2.125</c:v>
                </c:pt>
                <c:pt idx="6">
                  <c:v>2.6500000000000004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83-4964-87C0-53D165BC1A80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50%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cat>
          <c:val>
            <c:numRef>
              <c:f>Sheet1!$T$3:$T$9</c:f>
              <c:numCache>
                <c:formatCode>General</c:formatCode>
                <c:ptCount val="7"/>
                <c:pt idx="0">
                  <c:v>0.44999999999999996</c:v>
                </c:pt>
                <c:pt idx="1">
                  <c:v>0.86999999999999988</c:v>
                </c:pt>
                <c:pt idx="2">
                  <c:v>1.23</c:v>
                </c:pt>
                <c:pt idx="3">
                  <c:v>1.5449999999999999</c:v>
                </c:pt>
                <c:pt idx="4">
                  <c:v>1.8900000000000001</c:v>
                </c:pt>
                <c:pt idx="5">
                  <c:v>2.5499999999999998</c:v>
                </c:pt>
                <c:pt idx="6">
                  <c:v>3.18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83-4964-87C0-53D165BC1A80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Mod1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cat>
          <c:val>
            <c:numRef>
              <c:f>Sheet1!$U$3:$U$9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1.7</c:v>
                </c:pt>
                <c:pt idx="6">
                  <c:v>3.18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83-4964-87C0-53D165BC1A80}"/>
            </c:ext>
          </c:extLst>
        </c:ser>
        <c:ser>
          <c:idx val="4"/>
          <c:order val="4"/>
          <c:tx>
            <c:strRef>
              <c:f>Sheet1!$V$2</c:f>
              <c:strCache>
                <c:ptCount val="1"/>
                <c:pt idx="0">
                  <c:v>Mod2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714562141255417E-2"/>
                  <c:y val="-5.02073718322020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numRef>
              <c:f>Sheet1!$C$3:$C$9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cat>
          <c:val>
            <c:numRef>
              <c:f>Sheet1!$V$3:$V$9</c:f>
              <c:numCache>
                <c:formatCode>General</c:formatCode>
                <c:ptCount val="7"/>
                <c:pt idx="0">
                  <c:v>0.3</c:v>
                </c:pt>
                <c:pt idx="1">
                  <c:v>0.57999999999999996</c:v>
                </c:pt>
                <c:pt idx="2">
                  <c:v>0.82</c:v>
                </c:pt>
                <c:pt idx="3">
                  <c:v>1.03</c:v>
                </c:pt>
                <c:pt idx="4">
                  <c:v>1.26</c:v>
                </c:pt>
                <c:pt idx="5">
                  <c:v>2.5499999999999998</c:v>
                </c:pt>
                <c:pt idx="6">
                  <c:v>2.12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83-4964-87C0-53D165BC1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2155999"/>
        <c:axId val="1072157919"/>
      </c:lineChart>
      <c:catAx>
        <c:axId val="107215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157919"/>
        <c:crosses val="autoZero"/>
        <c:auto val="1"/>
        <c:lblAlgn val="ctr"/>
        <c:lblOffset val="100"/>
        <c:noMultiLvlLbl val="0"/>
      </c:catAx>
      <c:valAx>
        <c:axId val="107215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155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9.6845285421331598E-2"/>
          <c:y val="0.15015481068227077"/>
          <c:w val="0.40344021244877681"/>
          <c:h val="0.1931542413403817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9"/>
          <c:order val="0"/>
          <c:tx>
            <c:strRef>
              <c:f>Sheet1!$D$19</c:f>
              <c:strCache>
                <c:ptCount val="1"/>
                <c:pt idx="0">
                  <c:v>4A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4">
                    <a:lumMod val="6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078016182057825E-2"/>
                  <c:y val="3.58992946013374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Sheet1!$D$20:$D$26</c:f>
              <c:numCache>
                <c:formatCode>0.0000</c:formatCode>
                <c:ptCount val="7"/>
                <c:pt idx="0">
                  <c:v>1.8E-3</c:v>
                </c:pt>
                <c:pt idx="1">
                  <c:v>3.4999999999999905E-3</c:v>
                </c:pt>
                <c:pt idx="2">
                  <c:v>4.1999999999999997E-3</c:v>
                </c:pt>
                <c:pt idx="3">
                  <c:v>5.3E-3</c:v>
                </c:pt>
                <c:pt idx="4">
                  <c:v>6.8999999999999999E-3</c:v>
                </c:pt>
                <c:pt idx="5">
                  <c:v>1.01E-2</c:v>
                </c:pt>
                <c:pt idx="6">
                  <c:v>1.34E-2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F7FC-4A0C-B0D9-7A38712684DC}"/>
            </c:ext>
          </c:extLst>
        </c:ser>
        <c:ser>
          <c:idx val="15"/>
          <c:order val="1"/>
          <c:tx>
            <c:strRef>
              <c:f>Sheet1!$E$19</c:f>
              <c:strCache>
                <c:ptCount val="1"/>
                <c:pt idx="0">
                  <c:v>4B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9309671607003483E-2"/>
                  <c:y val="6.787717453064524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Sheet1!$E$20:$E$26</c:f>
              <c:numCache>
                <c:formatCode>0.0000</c:formatCode>
                <c:ptCount val="7"/>
                <c:pt idx="0">
                  <c:v>2.0499999999999902E-3</c:v>
                </c:pt>
                <c:pt idx="1">
                  <c:v>3.2000000000000002E-3</c:v>
                </c:pt>
                <c:pt idx="2">
                  <c:v>4.4000000000000003E-3</c:v>
                </c:pt>
                <c:pt idx="3">
                  <c:v>5.2500000000000003E-3</c:v>
                </c:pt>
                <c:pt idx="4">
                  <c:v>6.3E-3</c:v>
                </c:pt>
                <c:pt idx="5">
                  <c:v>9.4500000000000001E-3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F7FC-4A0C-B0D9-7A38712684DC}"/>
            </c:ext>
          </c:extLst>
        </c:ser>
        <c:ser>
          <c:idx val="10"/>
          <c:order val="2"/>
          <c:tx>
            <c:strRef>
              <c:f>Sheet1!$G$19</c:f>
              <c:strCache>
                <c:ptCount val="1"/>
                <c:pt idx="0">
                  <c:v>4D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5">
                    <a:lumMod val="6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698561946392975E-2"/>
                  <c:y val="-1.22197776093005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Sheet1!$G$20:$G$26</c:f>
              <c:numCache>
                <c:formatCode>0.0000</c:formatCode>
                <c:ptCount val="7"/>
                <c:pt idx="0">
                  <c:v>1.9499999999999997E-3</c:v>
                </c:pt>
                <c:pt idx="1">
                  <c:v>3.3999999999999998E-3</c:v>
                </c:pt>
                <c:pt idx="2">
                  <c:v>4.7999999999999996E-3</c:v>
                </c:pt>
                <c:pt idx="3">
                  <c:v>6.5500000000000003E-3</c:v>
                </c:pt>
                <c:pt idx="4">
                  <c:v>7.9500000000000005E-3</c:v>
                </c:pt>
                <c:pt idx="5">
                  <c:v>1.29E-2</c:v>
                </c:pt>
                <c:pt idx="6">
                  <c:v>1.5599999999999998E-2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F7FC-4A0C-B0D9-7A38712684DC}"/>
            </c:ext>
          </c:extLst>
        </c:ser>
        <c:ser>
          <c:idx val="13"/>
          <c:order val="3"/>
          <c:tx>
            <c:strRef>
              <c:f>Sheet1!$J$19</c:f>
              <c:strCache>
                <c:ptCount val="1"/>
                <c:pt idx="0">
                  <c:v>12A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0232453132021594E-2"/>
                  <c:y val="-3.80254887505111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Sheet1!$J$20:$J$26</c:f>
              <c:numCache>
                <c:formatCode>0.0000</c:formatCode>
                <c:ptCount val="7"/>
                <c:pt idx="0">
                  <c:v>1.9E-3</c:v>
                </c:pt>
                <c:pt idx="1">
                  <c:v>3.9499999999999952E-3</c:v>
                </c:pt>
                <c:pt idx="2">
                  <c:v>5.5000000000000005E-3</c:v>
                </c:pt>
                <c:pt idx="3">
                  <c:v>6.9999999999999993E-3</c:v>
                </c:pt>
                <c:pt idx="4">
                  <c:v>8.6499999999999997E-3</c:v>
                </c:pt>
                <c:pt idx="5">
                  <c:v>1.219999999999995E-2</c:v>
                </c:pt>
                <c:pt idx="6">
                  <c:v>1.5800000000000002E-2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F7FC-4A0C-B0D9-7A38712684DC}"/>
            </c:ext>
          </c:extLst>
        </c:ser>
        <c:ser>
          <c:idx val="8"/>
          <c:order val="4"/>
          <c:tx>
            <c:strRef>
              <c:f>Sheet1!$L$19</c:f>
              <c:strCache>
                <c:ptCount val="1"/>
                <c:pt idx="0">
                  <c:v>12D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3">
                    <a:lumMod val="6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3923579232094055E-2"/>
                  <c:y val="2.868438094752989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Sheet1!$L$20:$L$26</c:f>
              <c:numCache>
                <c:formatCode>0.0000</c:formatCode>
                <c:ptCount val="7"/>
                <c:pt idx="0">
                  <c:v>2.3999999999999998E-3</c:v>
                </c:pt>
                <c:pt idx="1">
                  <c:v>4.0999999999999995E-3</c:v>
                </c:pt>
                <c:pt idx="2">
                  <c:v>5.1999999999999998E-3</c:v>
                </c:pt>
                <c:pt idx="3">
                  <c:v>6.5500000000000003E-3</c:v>
                </c:pt>
                <c:pt idx="4">
                  <c:v>8.149999999999949E-3</c:v>
                </c:pt>
                <c:pt idx="5">
                  <c:v>1.125E-2</c:v>
                </c:pt>
                <c:pt idx="6">
                  <c:v>1.44E-2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F7FC-4A0C-B0D9-7A38712684DC}"/>
            </c:ext>
          </c:extLst>
        </c:ser>
        <c:ser>
          <c:idx val="11"/>
          <c:order val="5"/>
          <c:tx>
            <c:strRef>
              <c:f>Sheet1!$M$19</c:f>
              <c:strCache>
                <c:ptCount val="1"/>
                <c:pt idx="0">
                  <c:v>13A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6">
                    <a:lumMod val="6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9055139466657409E-2"/>
                  <c:y val="-4.2272538764563092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Sheet1!$M$20:$M$26</c:f>
              <c:numCache>
                <c:formatCode>0.0000</c:formatCode>
                <c:ptCount val="7"/>
                <c:pt idx="0">
                  <c:v>1.65E-3</c:v>
                </c:pt>
                <c:pt idx="1">
                  <c:v>3.3E-3</c:v>
                </c:pt>
                <c:pt idx="2">
                  <c:v>5.1999999999999998E-3</c:v>
                </c:pt>
                <c:pt idx="3">
                  <c:v>6.6E-3</c:v>
                </c:pt>
                <c:pt idx="4">
                  <c:v>8.4499999999999992E-3</c:v>
                </c:pt>
                <c:pt idx="5">
                  <c:v>1.1850000000000001E-2</c:v>
                </c:pt>
                <c:pt idx="6">
                  <c:v>1.5049999999999999E-2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F7FC-4A0C-B0D9-7A38712684DC}"/>
            </c:ext>
          </c:extLst>
        </c:ser>
        <c:ser>
          <c:idx val="14"/>
          <c:order val="6"/>
          <c:tx>
            <c:strRef>
              <c:f>Sheet1!$N$19</c:f>
              <c:strCache>
                <c:ptCount val="1"/>
                <c:pt idx="0">
                  <c:v>13B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281355002378991E-2"/>
                  <c:y val="-6.365681593807056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Sheet1!$C$20:$C$26</c:f>
              <c:numCache>
                <c:formatCode>General</c:formatCode>
                <c:ptCount val="7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0.17499999999999999</c:v>
                </c:pt>
                <c:pt idx="6">
                  <c:v>0.22500000000000001</c:v>
                </c:pt>
              </c:numCache>
            </c:numRef>
          </c:xVal>
          <c:yVal>
            <c:numRef>
              <c:f>Sheet1!$N$20:$N$26</c:f>
              <c:numCache>
                <c:formatCode>0.0000</c:formatCode>
                <c:ptCount val="7"/>
                <c:pt idx="0">
                  <c:v>1.5E-3</c:v>
                </c:pt>
                <c:pt idx="1">
                  <c:v>3.0000000000000001E-3</c:v>
                </c:pt>
                <c:pt idx="2">
                  <c:v>4.2500000000000003E-3</c:v>
                </c:pt>
                <c:pt idx="3">
                  <c:v>5.8499999999999993E-3</c:v>
                </c:pt>
                <c:pt idx="4">
                  <c:v>7.4499999999999497E-3</c:v>
                </c:pt>
                <c:pt idx="5">
                  <c:v>1.04E-2</c:v>
                </c:pt>
                <c:pt idx="6">
                  <c:v>1.289999999999995E-2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F7FC-4A0C-B0D9-7A3871268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9455967"/>
        <c:axId val="829431007"/>
      </c:scatterChart>
      <c:valAx>
        <c:axId val="829455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31007"/>
        <c:crosses val="autoZero"/>
        <c:crossBetween val="midCat"/>
      </c:valAx>
      <c:valAx>
        <c:axId val="8294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Vol (ml)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94559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131794020055193"/>
          <c:y val="0.62007223296188918"/>
          <c:w val="0.18634877105584755"/>
          <c:h val="0.2916698201581454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'Sheet1 (2)'!$D$2</c:f>
              <c:strCache>
                <c:ptCount val="1"/>
                <c:pt idx="0">
                  <c:v>slope^-1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'Sheet1 (2)'!$B$3:$B$14</c:f>
              <c:numCache>
                <c:formatCode>General</c:formatCode>
                <c:ptCount val="12"/>
                <c:pt idx="0">
                  <c:v>2.58</c:v>
                </c:pt>
                <c:pt idx="1">
                  <c:v>2.0099999999999998</c:v>
                </c:pt>
                <c:pt idx="2">
                  <c:v>3.61</c:v>
                </c:pt>
                <c:pt idx="3">
                  <c:v>3.54</c:v>
                </c:pt>
                <c:pt idx="4">
                  <c:v>5.08</c:v>
                </c:pt>
                <c:pt idx="5">
                  <c:v>4.76</c:v>
                </c:pt>
                <c:pt idx="6">
                  <c:v>4.0599999999999996</c:v>
                </c:pt>
                <c:pt idx="7">
                  <c:v>4.16</c:v>
                </c:pt>
                <c:pt idx="8">
                  <c:v>2.4900000000000002</c:v>
                </c:pt>
                <c:pt idx="9">
                  <c:v>3.6</c:v>
                </c:pt>
                <c:pt idx="10">
                  <c:v>2.65</c:v>
                </c:pt>
                <c:pt idx="11">
                  <c:v>1.51</c:v>
                </c:pt>
              </c:numCache>
            </c:numRef>
          </c:xVal>
          <c:yVal>
            <c:numRef>
              <c:f>'Sheet1 (2)'!$D$3:$D$14</c:f>
              <c:numCache>
                <c:formatCode>0.00</c:formatCode>
                <c:ptCount val="12"/>
                <c:pt idx="0">
                  <c:v>17.483249581239551</c:v>
                </c:pt>
                <c:pt idx="1">
                  <c:v>18.758100624484538</c:v>
                </c:pt>
                <c:pt idx="2">
                  <c:v>16.666666666666668</c:v>
                </c:pt>
                <c:pt idx="3">
                  <c:v>14.129791014468241</c:v>
                </c:pt>
                <c:pt idx="4">
                  <c:v>13.692040977147357</c:v>
                </c:pt>
                <c:pt idx="5">
                  <c:v>13.199673350875605</c:v>
                </c:pt>
                <c:pt idx="6">
                  <c:v>13.199673350875605</c:v>
                </c:pt>
                <c:pt idx="7">
                  <c:v>11.925545829560328</c:v>
                </c:pt>
                <c:pt idx="8">
                  <c:v>14.878831076265158</c:v>
                </c:pt>
                <c:pt idx="9">
                  <c:v>11.577503883997935</c:v>
                </c:pt>
                <c:pt idx="10">
                  <c:v>10.703299663299665</c:v>
                </c:pt>
                <c:pt idx="11">
                  <c:v>14.878831076265158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66-42AF-A328-48D55E8F5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62367"/>
        <c:axId val="54664287"/>
      </c:scatterChart>
      <c:valAx>
        <c:axId val="5466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64287"/>
        <c:crosses val="autoZero"/>
        <c:crossBetween val="midCat"/>
      </c:valAx>
      <c:valAx>
        <c:axId val="5466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623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235238</xdr:colOff>
      <xdr:row>3</xdr:row>
      <xdr:rowOff>172028</xdr:rowOff>
    </xdr:from>
    <xdr:to>
      <xdr:col>39</xdr:col>
      <xdr:colOff>260927</xdr:colOff>
      <xdr:row>21</xdr:row>
      <xdr:rowOff>57728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2B6EB6-FC2A-AEF1-D546-4285B1DE2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85725</xdr:colOff>
      <xdr:row>18</xdr:row>
      <xdr:rowOff>123825</xdr:rowOff>
    </xdr:from>
    <xdr:to>
      <xdr:col>23</xdr:col>
      <xdr:colOff>130175</xdr:colOff>
      <xdr:row>33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7C7FA1-A5E6-48DE-9906-6322D828D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295275</xdr:colOff>
      <xdr:row>18</xdr:row>
      <xdr:rowOff>133350</xdr:rowOff>
    </xdr:from>
    <xdr:to>
      <xdr:col>27</xdr:col>
      <xdr:colOff>400050</xdr:colOff>
      <xdr:row>33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A6BA3A-FC33-4129-8B90-65EBECE6D0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123825</xdr:colOff>
      <xdr:row>18</xdr:row>
      <xdr:rowOff>171450</xdr:rowOff>
    </xdr:from>
    <xdr:to>
      <xdr:col>32</xdr:col>
      <xdr:colOff>228600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590294-0261-4BEE-9FFC-A89C4024F0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561975</xdr:colOff>
      <xdr:row>18</xdr:row>
      <xdr:rowOff>161925</xdr:rowOff>
    </xdr:from>
    <xdr:to>
      <xdr:col>37</xdr:col>
      <xdr:colOff>57150</xdr:colOff>
      <xdr:row>33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1D87E6-97B0-4734-84DC-5DD16EAAB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211136</xdr:colOff>
      <xdr:row>35</xdr:row>
      <xdr:rowOff>68261</xdr:rowOff>
    </xdr:from>
    <xdr:to>
      <xdr:col>30</xdr:col>
      <xdr:colOff>76200</xdr:colOff>
      <xdr:row>67</xdr:row>
      <xdr:rowOff>120650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8CA2B1-DB57-DA01-CDD4-261B65BA0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243569</xdr:colOff>
      <xdr:row>6</xdr:row>
      <xdr:rowOff>87486</xdr:rowOff>
    </xdr:from>
    <xdr:to>
      <xdr:col>54</xdr:col>
      <xdr:colOff>161926</xdr:colOff>
      <xdr:row>55</xdr:row>
      <xdr:rowOff>30391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4FED5D4-D3A8-4AE1-92F6-16D432153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479425</xdr:colOff>
      <xdr:row>1</xdr:row>
      <xdr:rowOff>906462</xdr:rowOff>
    </xdr:from>
    <xdr:to>
      <xdr:col>30</xdr:col>
      <xdr:colOff>174625</xdr:colOff>
      <xdr:row>14</xdr:row>
      <xdr:rowOff>144462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6A4649-2C94-402A-8F30-5C765EE4F9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V34"/>
  <sheetViews>
    <sheetView topLeftCell="A14" zoomScale="85" zoomScaleNormal="85" workbookViewId="0">
      <selection activeCell="H33" sqref="H33"/>
    </sheetView>
  </sheetViews>
  <sheetFormatPr defaultRowHeight="15" x14ac:dyDescent="0.25"/>
  <cols>
    <col min="3" max="3" width="12" customWidth="1"/>
    <col min="4" max="17" width="8" customWidth="1"/>
    <col min="18" max="18" width="12" bestFit="1" customWidth="1"/>
  </cols>
  <sheetData>
    <row r="2" spans="3:22" x14ac:dyDescent="0.25">
      <c r="C2" s="2"/>
      <c r="D2" s="1" t="s">
        <v>9</v>
      </c>
      <c r="E2" s="1" t="s">
        <v>10</v>
      </c>
      <c r="F2" s="1" t="s">
        <v>11</v>
      </c>
      <c r="G2" s="1" t="s">
        <v>12</v>
      </c>
      <c r="H2" s="1" t="s">
        <v>163</v>
      </c>
      <c r="I2" s="1" t="s">
        <v>164</v>
      </c>
      <c r="J2" s="1" t="s">
        <v>13</v>
      </c>
      <c r="K2" s="1" t="s">
        <v>7</v>
      </c>
      <c r="L2" s="1" t="s">
        <v>8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  <c r="R2" s="2" t="s">
        <v>0</v>
      </c>
      <c r="S2" s="3">
        <v>0.25</v>
      </c>
      <c r="T2" s="3">
        <v>0.5</v>
      </c>
      <c r="U2" s="2" t="s">
        <v>3</v>
      </c>
      <c r="V2" s="2" t="s">
        <v>4</v>
      </c>
    </row>
    <row r="3" spans="3:22" x14ac:dyDescent="0.25">
      <c r="C3" s="2">
        <v>2.5000000000000001E-2</v>
      </c>
      <c r="D3" s="10">
        <v>0.36</v>
      </c>
      <c r="E3" s="10">
        <v>0.40999999999999803</v>
      </c>
      <c r="F3" s="10">
        <v>0.40999999999999803</v>
      </c>
      <c r="G3" s="10">
        <v>0.38999999999999996</v>
      </c>
      <c r="H3" s="10">
        <v>0.26</v>
      </c>
      <c r="I3" s="10">
        <v>0.39</v>
      </c>
      <c r="J3" s="10">
        <v>0.38</v>
      </c>
      <c r="K3" s="10">
        <v>0.47999999999999898</v>
      </c>
      <c r="L3" s="10">
        <v>0.48</v>
      </c>
      <c r="M3" s="10">
        <v>0.33</v>
      </c>
      <c r="N3" s="10">
        <v>0.3</v>
      </c>
      <c r="O3" s="10">
        <v>0.28999999999999998</v>
      </c>
      <c r="P3" s="10">
        <v>0.33</v>
      </c>
      <c r="Q3" s="10">
        <v>0.38999999999999996</v>
      </c>
      <c r="R3" s="4">
        <v>0.3</v>
      </c>
      <c r="S3" s="5">
        <f>R3*1.25</f>
        <v>0.375</v>
      </c>
      <c r="T3" s="6">
        <f>R3*1.5</f>
        <v>0.44999999999999996</v>
      </c>
      <c r="U3" s="7">
        <v>0.3</v>
      </c>
      <c r="V3" s="7">
        <v>0.3</v>
      </c>
    </row>
    <row r="4" spans="3:22" x14ac:dyDescent="0.25">
      <c r="C4" s="2">
        <v>0.05</v>
      </c>
      <c r="D4" s="10">
        <v>0.69999999999999807</v>
      </c>
      <c r="E4" s="10">
        <v>0.64</v>
      </c>
      <c r="F4" s="10">
        <v>0.66</v>
      </c>
      <c r="G4" s="10">
        <v>0.67999999999999994</v>
      </c>
      <c r="H4" s="10">
        <v>0.57999999999999996</v>
      </c>
      <c r="I4" s="10">
        <v>0.76</v>
      </c>
      <c r="J4" s="10">
        <v>0.78999999999999904</v>
      </c>
      <c r="K4" s="10">
        <v>0.82</v>
      </c>
      <c r="L4" s="10">
        <v>0.82</v>
      </c>
      <c r="M4" s="10">
        <v>0.66</v>
      </c>
      <c r="N4" s="10">
        <v>0.6</v>
      </c>
      <c r="O4" s="10">
        <v>0.53</v>
      </c>
      <c r="P4" s="10">
        <v>0.66</v>
      </c>
      <c r="Q4" s="10">
        <v>0.67999999999999994</v>
      </c>
      <c r="R4" s="4">
        <v>0.57999999999999996</v>
      </c>
      <c r="S4" s="5">
        <f t="shared" ref="S4:S9" si="0">R4*1.25</f>
        <v>0.72499999999999998</v>
      </c>
      <c r="T4" s="6">
        <f t="shared" ref="T4:T9" si="1">R4*1.5</f>
        <v>0.86999999999999988</v>
      </c>
      <c r="U4" s="7">
        <v>0.57999999999999996</v>
      </c>
      <c r="V4" s="7">
        <v>0.57999999999999996</v>
      </c>
    </row>
    <row r="5" spans="3:22" x14ac:dyDescent="0.25">
      <c r="C5" s="2">
        <v>7.4999999999999997E-2</v>
      </c>
      <c r="D5" s="10">
        <v>0.84</v>
      </c>
      <c r="E5" s="10">
        <v>0.88</v>
      </c>
      <c r="F5" s="10">
        <v>0.93999999999999795</v>
      </c>
      <c r="G5" s="10">
        <v>0.96</v>
      </c>
      <c r="H5" s="10">
        <v>0.88</v>
      </c>
      <c r="I5" s="10">
        <v>1.0900000000000001</v>
      </c>
      <c r="J5" s="10">
        <v>1.1000000000000001</v>
      </c>
      <c r="K5" s="10">
        <v>1.1399999999999899</v>
      </c>
      <c r="L5" s="10">
        <v>1.04</v>
      </c>
      <c r="M5" s="10">
        <v>1.04</v>
      </c>
      <c r="N5" s="10">
        <v>0.85</v>
      </c>
      <c r="O5" s="10">
        <v>0.79</v>
      </c>
      <c r="P5" s="10">
        <v>1.04</v>
      </c>
      <c r="Q5" s="10">
        <v>0.96</v>
      </c>
      <c r="R5" s="4">
        <v>0.82</v>
      </c>
      <c r="S5" s="5">
        <f t="shared" si="0"/>
        <v>1.0249999999999999</v>
      </c>
      <c r="T5" s="6">
        <f t="shared" si="1"/>
        <v>1.23</v>
      </c>
      <c r="U5" s="7">
        <v>0.82</v>
      </c>
      <c r="V5" s="7">
        <v>0.82</v>
      </c>
    </row>
    <row r="6" spans="3:22" x14ac:dyDescent="0.25">
      <c r="C6" s="2">
        <v>0.1</v>
      </c>
      <c r="D6" s="10">
        <v>1.06</v>
      </c>
      <c r="E6" s="10">
        <v>1.05</v>
      </c>
      <c r="F6" s="10">
        <v>1.1199999999999999</v>
      </c>
      <c r="G6" s="10">
        <v>1.31</v>
      </c>
      <c r="H6" s="10">
        <v>1.2</v>
      </c>
      <c r="I6" s="10">
        <v>1.49</v>
      </c>
      <c r="J6" s="10">
        <v>1.4</v>
      </c>
      <c r="K6" s="10">
        <v>1.48999999999999</v>
      </c>
      <c r="L6" s="10">
        <v>1.31</v>
      </c>
      <c r="M6" s="10">
        <v>1.32</v>
      </c>
      <c r="N6" s="10">
        <v>1.17</v>
      </c>
      <c r="O6" s="10">
        <v>1.0900000000000001</v>
      </c>
      <c r="P6" s="10">
        <v>1.32</v>
      </c>
      <c r="Q6" s="10">
        <v>1.31</v>
      </c>
      <c r="R6" s="4">
        <v>1.03</v>
      </c>
      <c r="S6" s="5">
        <f t="shared" si="0"/>
        <v>1.2875000000000001</v>
      </c>
      <c r="T6" s="6">
        <f t="shared" si="1"/>
        <v>1.5449999999999999</v>
      </c>
      <c r="U6" s="7">
        <v>1.03</v>
      </c>
      <c r="V6" s="7">
        <v>1.03</v>
      </c>
    </row>
    <row r="7" spans="3:22" x14ac:dyDescent="0.25">
      <c r="C7" s="2">
        <v>0.125</v>
      </c>
      <c r="D7" s="10">
        <v>1.38</v>
      </c>
      <c r="E7" s="10">
        <v>1.26</v>
      </c>
      <c r="F7" s="10">
        <v>1.3599999999999999</v>
      </c>
      <c r="G7" s="10">
        <v>1.59</v>
      </c>
      <c r="H7" s="10">
        <v>1.49</v>
      </c>
      <c r="I7" s="10">
        <v>1.82</v>
      </c>
      <c r="J7" s="10">
        <v>1.73</v>
      </c>
      <c r="K7" s="10">
        <v>1.81</v>
      </c>
      <c r="L7" s="10">
        <v>1.6299999999999899</v>
      </c>
      <c r="M7" s="10">
        <v>1.69</v>
      </c>
      <c r="N7" s="10">
        <v>1.48999999999999</v>
      </c>
      <c r="O7" s="10">
        <v>1.36</v>
      </c>
      <c r="P7" s="10">
        <v>1.69</v>
      </c>
      <c r="Q7" s="10">
        <v>1.59</v>
      </c>
      <c r="R7" s="4">
        <v>1.26</v>
      </c>
      <c r="S7" s="5">
        <f t="shared" si="0"/>
        <v>1.575</v>
      </c>
      <c r="T7" s="6">
        <f t="shared" si="1"/>
        <v>1.8900000000000001</v>
      </c>
      <c r="U7" s="7">
        <v>1.26</v>
      </c>
      <c r="V7" s="7">
        <v>1.26</v>
      </c>
    </row>
    <row r="8" spans="3:22" x14ac:dyDescent="0.25">
      <c r="C8" s="2">
        <v>0.17499999999999999</v>
      </c>
      <c r="D8" s="10">
        <v>2.02</v>
      </c>
      <c r="E8" s="10">
        <v>1.8900000000000001</v>
      </c>
      <c r="F8" s="10">
        <v>2.1</v>
      </c>
      <c r="G8" s="10">
        <v>2.58</v>
      </c>
      <c r="H8" s="10">
        <v>2.19</v>
      </c>
      <c r="I8" s="10">
        <v>2.38</v>
      </c>
      <c r="J8" s="10">
        <v>2.4399999999999902</v>
      </c>
      <c r="K8" s="10">
        <v>2.4700000000000002</v>
      </c>
      <c r="L8" s="10">
        <v>2.25</v>
      </c>
      <c r="M8" s="10">
        <v>2.37</v>
      </c>
      <c r="N8" s="10">
        <v>2.08</v>
      </c>
      <c r="O8" s="10">
        <v>1.96</v>
      </c>
      <c r="P8" s="10">
        <v>2.37</v>
      </c>
      <c r="Q8" s="10">
        <v>2.58</v>
      </c>
      <c r="R8" s="4">
        <v>1.7</v>
      </c>
      <c r="S8" s="5">
        <f t="shared" si="0"/>
        <v>2.125</v>
      </c>
      <c r="T8" s="6">
        <f t="shared" si="1"/>
        <v>2.5499999999999998</v>
      </c>
      <c r="U8" s="7">
        <v>1.7</v>
      </c>
      <c r="V8" s="7">
        <v>2.5499999999999998</v>
      </c>
    </row>
    <row r="9" spans="3:22" x14ac:dyDescent="0.25">
      <c r="C9" s="2">
        <v>0.22500000000000001</v>
      </c>
      <c r="D9" s="10">
        <v>2.68</v>
      </c>
      <c r="E9" s="10"/>
      <c r="F9" s="10"/>
      <c r="G9" s="10">
        <v>3.1199999999999997</v>
      </c>
      <c r="H9" s="10">
        <v>2.72</v>
      </c>
      <c r="I9" s="10">
        <v>3.02</v>
      </c>
      <c r="J9" s="10">
        <v>3.16</v>
      </c>
      <c r="K9" s="10">
        <v>3.1199999999999899</v>
      </c>
      <c r="L9" s="10">
        <v>2.88</v>
      </c>
      <c r="M9" s="10">
        <v>3.01</v>
      </c>
      <c r="N9" s="10">
        <v>2.5799999999999899</v>
      </c>
      <c r="O9" s="10">
        <v>2.36</v>
      </c>
      <c r="P9" s="10">
        <v>3.01</v>
      </c>
      <c r="Q9" s="10">
        <v>3.1199999999999997</v>
      </c>
      <c r="R9" s="4">
        <v>2.12</v>
      </c>
      <c r="S9" s="5">
        <f t="shared" si="0"/>
        <v>2.6500000000000004</v>
      </c>
      <c r="T9" s="6">
        <f t="shared" si="1"/>
        <v>3.18</v>
      </c>
      <c r="U9" s="5">
        <v>3.18</v>
      </c>
      <c r="V9" s="6">
        <v>2.12</v>
      </c>
    </row>
    <row r="10" spans="3:22" ht="9.75" customHeight="1" x14ac:dyDescent="0.25">
      <c r="C10" s="2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4"/>
      <c r="S10" s="5"/>
      <c r="T10" s="6"/>
      <c r="U10" s="5"/>
      <c r="V10" s="6"/>
    </row>
    <row r="11" spans="3:22" x14ac:dyDescent="0.25">
      <c r="C11" s="2" t="s">
        <v>19</v>
      </c>
      <c r="D11" s="10">
        <v>5.7197604790419097E-2</v>
      </c>
      <c r="E11" s="10">
        <v>5.33103015075376E-2</v>
      </c>
      <c r="F11" s="10">
        <v>0.06</v>
      </c>
      <c r="G11" s="10">
        <v>7.0772455089820302E-2</v>
      </c>
      <c r="H11" s="10">
        <v>8.0262970903900596E-2</v>
      </c>
      <c r="I11" s="10">
        <v>7.6315215201772604E-2</v>
      </c>
      <c r="J11" s="10">
        <v>7.30351305308716E-2</v>
      </c>
      <c r="K11" s="10">
        <v>7.5759450511982906E-2</v>
      </c>
      <c r="L11" s="10">
        <v>8.3853604211663005E-2</v>
      </c>
      <c r="M11" s="10">
        <v>6.7209580838323305E-2</v>
      </c>
      <c r="N11" s="10">
        <v>8.6374404191059601E-2</v>
      </c>
      <c r="O11" s="10">
        <v>9.34291322730018E-2</v>
      </c>
      <c r="P11" s="10">
        <v>6.7209580838323305E-2</v>
      </c>
      <c r="Q11" s="10">
        <v>7.0772455089820302E-2</v>
      </c>
      <c r="R11" s="4"/>
      <c r="S11" s="5"/>
      <c r="T11" s="6"/>
      <c r="U11" s="5"/>
      <c r="V11" s="6"/>
    </row>
    <row r="12" spans="3:22" x14ac:dyDescent="0.25">
      <c r="C12" s="2" t="s">
        <v>20</v>
      </c>
      <c r="D12" s="10">
        <v>1.2455089820359E-4</v>
      </c>
      <c r="E12" s="10">
        <v>2.5961055276382198E-4</v>
      </c>
      <c r="F12" s="10">
        <v>-1.0615577889444899E-5</v>
      </c>
      <c r="G12" s="10">
        <v>-2.4266467065868201E-4</v>
      </c>
      <c r="H12" s="10">
        <v>3.8498730250922601E-3</v>
      </c>
      <c r="I12" s="10">
        <v>-8.6645152084871696E-3</v>
      </c>
      <c r="J12" s="10">
        <v>-4.0552051199410702E-3</v>
      </c>
      <c r="K12" s="10">
        <v>-1.19077963286809E-2</v>
      </c>
      <c r="L12" s="10">
        <v>-1.3988002834773101E-2</v>
      </c>
      <c r="M12" s="10">
        <v>1.79640718562558E-6</v>
      </c>
      <c r="N12" s="10">
        <v>-1.20226371613015E-3</v>
      </c>
      <c r="O12" s="10">
        <v>1.1337326353935799E-3</v>
      </c>
      <c r="P12" s="10">
        <v>1.79640718562558E-6</v>
      </c>
      <c r="Q12" s="10">
        <v>-2.4266467065868201E-4</v>
      </c>
      <c r="R12" s="4"/>
      <c r="S12" s="5"/>
      <c r="T12" s="6"/>
      <c r="U12" s="5"/>
      <c r="V12" s="6"/>
    </row>
    <row r="13" spans="3:22" x14ac:dyDescent="0.25">
      <c r="C13" s="2" t="s">
        <v>1</v>
      </c>
      <c r="D13" s="1">
        <f t="shared" ref="D13:V13" si="2">SLOPE(D3:D9,$C$3:$C$9)</f>
        <v>11.43952095808384</v>
      </c>
      <c r="E13" s="1">
        <f t="shared" si="2"/>
        <v>9.5714285714285818</v>
      </c>
      <c r="F13" s="1">
        <f t="shared" si="2"/>
        <v>10.914285714285729</v>
      </c>
      <c r="G13" s="1">
        <f t="shared" si="2"/>
        <v>14.154491017964071</v>
      </c>
      <c r="H13" s="1">
        <f t="shared" ref="H13:I13" si="3">SLOPE(H3:H9,$C$3:$C$9)</f>
        <v>12.445508982035932</v>
      </c>
      <c r="I13" s="1">
        <f t="shared" si="3"/>
        <v>13.067065868263473</v>
      </c>
      <c r="J13" s="1">
        <f t="shared" si="2"/>
        <v>13.67784431137723</v>
      </c>
      <c r="K13" s="1">
        <f t="shared" si="2"/>
        <v>13.198802395209562</v>
      </c>
      <c r="L13" s="1">
        <f t="shared" si="2"/>
        <v>11.902994011976043</v>
      </c>
      <c r="M13" s="1">
        <f t="shared" si="2"/>
        <v>13.441916167664671</v>
      </c>
      <c r="N13" s="1">
        <f t="shared" si="2"/>
        <v>11.562874251496964</v>
      </c>
      <c r="O13" s="1">
        <f t="shared" si="2"/>
        <v>10.67065868263473</v>
      </c>
      <c r="P13" s="1">
        <f t="shared" si="2"/>
        <v>13.441916167664671</v>
      </c>
      <c r="Q13" s="1">
        <f t="shared" si="2"/>
        <v>14.154491017964071</v>
      </c>
      <c r="R13" s="1">
        <f t="shared" si="2"/>
        <v>8.9976047904191621</v>
      </c>
      <c r="S13" s="1">
        <f t="shared" si="2"/>
        <v>11.247005988023954</v>
      </c>
      <c r="T13" s="1">
        <f t="shared" si="2"/>
        <v>13.496407185628744</v>
      </c>
      <c r="U13" s="1">
        <f t="shared" si="2"/>
        <v>13.059880239520959</v>
      </c>
      <c r="V13" s="1">
        <f t="shared" si="2"/>
        <v>10.829940119760479</v>
      </c>
    </row>
    <row r="14" spans="3:22" x14ac:dyDescent="0.25">
      <c r="C14" s="2" t="s">
        <v>6</v>
      </c>
      <c r="D14" s="1">
        <f t="shared" ref="D14:Q14" si="4">1/D13</f>
        <v>8.7416247906197592E-2</v>
      </c>
      <c r="E14" s="1">
        <f t="shared" si="4"/>
        <v>0.10447761194029839</v>
      </c>
      <c r="F14" s="1">
        <f t="shared" si="4"/>
        <v>9.1623036649214534E-2</v>
      </c>
      <c r="G14" s="1">
        <f t="shared" si="4"/>
        <v>7.0648955072341146E-2</v>
      </c>
      <c r="H14" s="1">
        <f t="shared" ref="H14:I14" si="5">1/H13</f>
        <v>8.0350269438029226E-2</v>
      </c>
      <c r="I14" s="1">
        <f t="shared" si="5"/>
        <v>7.6528274218678402E-2</v>
      </c>
      <c r="J14" s="1">
        <f t="shared" si="4"/>
        <v>7.311093599509684E-2</v>
      </c>
      <c r="K14" s="1">
        <f t="shared" si="4"/>
        <v>7.576444968696136E-2</v>
      </c>
      <c r="L14" s="1">
        <f t="shared" si="4"/>
        <v>8.4012476104235873E-2</v>
      </c>
      <c r="M14" s="1">
        <f t="shared" si="4"/>
        <v>7.4394155381325724E-2</v>
      </c>
      <c r="N14" s="1">
        <f t="shared" si="4"/>
        <v>8.6483687208700463E-2</v>
      </c>
      <c r="O14" s="1">
        <f t="shared" si="4"/>
        <v>9.3714927048260385E-2</v>
      </c>
      <c r="P14" s="1">
        <f t="shared" si="4"/>
        <v>7.4394155381325724E-2</v>
      </c>
      <c r="Q14" s="1">
        <f t="shared" si="4"/>
        <v>7.0648955072341146E-2</v>
      </c>
      <c r="R14" s="1">
        <f>1/R13</f>
        <v>0.11114068947158258</v>
      </c>
      <c r="S14" s="1">
        <f t="shared" ref="S14:V14" si="6">1/S13</f>
        <v>8.8912551577266061E-2</v>
      </c>
      <c r="T14" s="1">
        <f t="shared" si="6"/>
        <v>7.4093792981055048E-2</v>
      </c>
      <c r="U14" s="1">
        <f t="shared" si="6"/>
        <v>7.6570380559376428E-2</v>
      </c>
      <c r="V14" s="1">
        <f t="shared" si="6"/>
        <v>9.2336613955545724E-2</v>
      </c>
    </row>
    <row r="15" spans="3:22" x14ac:dyDescent="0.25">
      <c r="C15" s="2" t="s">
        <v>2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8">
        <f>(S13-$R$13)/$R$13</f>
        <v>0.25000000000000017</v>
      </c>
      <c r="T15" s="8">
        <f t="shared" ref="T15:V15" si="7">(T13-$R$13)/$R$13</f>
        <v>0.50000000000000011</v>
      </c>
      <c r="U15" s="8">
        <f t="shared" si="7"/>
        <v>0.45148409423665653</v>
      </c>
      <c r="V15" s="8">
        <f t="shared" si="7"/>
        <v>0.20364701184613337</v>
      </c>
    </row>
    <row r="16" spans="3:22" x14ac:dyDescent="0.25">
      <c r="C16" s="1" t="s">
        <v>5</v>
      </c>
      <c r="D16" s="1">
        <f t="shared" ref="D16:V16" si="8">INTERCEPT(D3:D9,$C$3:$C$9)</f>
        <v>2.49101796407174E-2</v>
      </c>
      <c r="E16" s="1">
        <f t="shared" si="8"/>
        <v>0.14428571428571291</v>
      </c>
      <c r="F16" s="1">
        <f t="shared" si="8"/>
        <v>9.7857142857140866E-2</v>
      </c>
      <c r="G16" s="1">
        <f t="shared" si="8"/>
        <v>-4.8532934131736649E-2</v>
      </c>
      <c r="H16" s="1">
        <f t="shared" ref="H16:I16" si="9">INTERCEPT(H3:H9,$C$3:$C$9)</f>
        <v>-4.646706586826399E-2</v>
      </c>
      <c r="I16" s="1">
        <f t="shared" si="9"/>
        <v>0.1175748502994014</v>
      </c>
      <c r="J16" s="1">
        <f t="shared" si="8"/>
        <v>5.7095808383233582E-2</v>
      </c>
      <c r="K16" s="1">
        <f t="shared" si="8"/>
        <v>0.15727544910179425</v>
      </c>
      <c r="L16" s="1">
        <f t="shared" si="8"/>
        <v>0.16931137724550793</v>
      </c>
      <c r="M16" s="1">
        <f t="shared" si="8"/>
        <v>3.5928143712604665E-4</v>
      </c>
      <c r="N16" s="1">
        <f t="shared" si="8"/>
        <v>1.5538922155690083E-2</v>
      </c>
      <c r="O16" s="1">
        <f t="shared" si="8"/>
        <v>1.5748502994012092E-2</v>
      </c>
      <c r="P16" s="1">
        <f t="shared" si="8"/>
        <v>3.5928143712604665E-4</v>
      </c>
      <c r="Q16" s="1">
        <f t="shared" si="8"/>
        <v>-4.8532934131736649E-2</v>
      </c>
      <c r="R16" s="1">
        <f t="shared" si="8"/>
        <v>0.11955089820359266</v>
      </c>
      <c r="S16" s="1">
        <f t="shared" si="8"/>
        <v>0.1494386227544906</v>
      </c>
      <c r="T16" s="1">
        <f t="shared" si="8"/>
        <v>0.17932634730538877</v>
      </c>
      <c r="U16" s="1">
        <f t="shared" si="8"/>
        <v>-0.17877245508982065</v>
      </c>
      <c r="V16" s="1">
        <f t="shared" si="8"/>
        <v>3.8113772455089734E-2</v>
      </c>
    </row>
    <row r="19" spans="3:17" x14ac:dyDescent="0.25">
      <c r="C19" s="2"/>
      <c r="D19" s="1" t="s">
        <v>9</v>
      </c>
      <c r="E19" s="1" t="s">
        <v>10</v>
      </c>
      <c r="F19" s="1" t="s">
        <v>11</v>
      </c>
      <c r="G19" s="1" t="s">
        <v>12</v>
      </c>
      <c r="H19" s="1" t="s">
        <v>163</v>
      </c>
      <c r="I19" s="1" t="s">
        <v>164</v>
      </c>
      <c r="J19" s="1" t="s">
        <v>13</v>
      </c>
      <c r="K19" s="1" t="s">
        <v>7</v>
      </c>
      <c r="L19" s="1" t="s">
        <v>8</v>
      </c>
      <c r="M19" s="1" t="s">
        <v>14</v>
      </c>
      <c r="N19" s="1" t="s">
        <v>15</v>
      </c>
      <c r="O19" s="1" t="s">
        <v>16</v>
      </c>
      <c r="P19" s="1" t="s">
        <v>17</v>
      </c>
      <c r="Q19" s="1" t="s">
        <v>18</v>
      </c>
    </row>
    <row r="20" spans="3:17" x14ac:dyDescent="0.25">
      <c r="C20" s="2">
        <v>2.5000000000000001E-2</v>
      </c>
      <c r="D20" s="10">
        <f t="shared" ref="D20:Q20" si="10">D3/200</f>
        <v>1.8E-3</v>
      </c>
      <c r="E20" s="10">
        <f t="shared" si="10"/>
        <v>2.0499999999999902E-3</v>
      </c>
      <c r="F20" s="10">
        <f t="shared" si="10"/>
        <v>2.0499999999999902E-3</v>
      </c>
      <c r="G20" s="10">
        <f t="shared" si="10"/>
        <v>1.9499999999999997E-3</v>
      </c>
      <c r="H20" s="10">
        <f t="shared" si="10"/>
        <v>1.2999999999999999E-3</v>
      </c>
      <c r="I20" s="10">
        <f t="shared" si="10"/>
        <v>1.9500000000000001E-3</v>
      </c>
      <c r="J20" s="10">
        <f t="shared" si="10"/>
        <v>1.9E-3</v>
      </c>
      <c r="K20" s="10">
        <f t="shared" si="10"/>
        <v>2.399999999999995E-3</v>
      </c>
      <c r="L20" s="10">
        <f t="shared" si="10"/>
        <v>2.3999999999999998E-3</v>
      </c>
      <c r="M20" s="10">
        <f t="shared" si="10"/>
        <v>1.65E-3</v>
      </c>
      <c r="N20" s="10">
        <f t="shared" si="10"/>
        <v>1.5E-3</v>
      </c>
      <c r="O20" s="10">
        <f t="shared" si="10"/>
        <v>1.4499999999999999E-3</v>
      </c>
      <c r="P20" s="10">
        <f t="shared" si="10"/>
        <v>1.65E-3</v>
      </c>
      <c r="Q20" s="10">
        <f t="shared" si="10"/>
        <v>1.9499999999999997E-3</v>
      </c>
    </row>
    <row r="21" spans="3:17" x14ac:dyDescent="0.25">
      <c r="C21" s="2">
        <v>0.05</v>
      </c>
      <c r="D21" s="10">
        <f t="shared" ref="D21:Q21" si="11">D4/200</f>
        <v>3.4999999999999905E-3</v>
      </c>
      <c r="E21" s="10">
        <f t="shared" si="11"/>
        <v>3.2000000000000002E-3</v>
      </c>
      <c r="F21" s="10">
        <f t="shared" si="11"/>
        <v>3.3E-3</v>
      </c>
      <c r="G21" s="10">
        <f t="shared" si="11"/>
        <v>3.3999999999999998E-3</v>
      </c>
      <c r="H21" s="10">
        <f t="shared" si="11"/>
        <v>2.8999999999999998E-3</v>
      </c>
      <c r="I21" s="10">
        <f t="shared" si="11"/>
        <v>3.8E-3</v>
      </c>
      <c r="J21" s="10">
        <f t="shared" si="11"/>
        <v>3.9499999999999952E-3</v>
      </c>
      <c r="K21" s="10">
        <f t="shared" si="11"/>
        <v>4.0999999999999995E-3</v>
      </c>
      <c r="L21" s="10">
        <f t="shared" si="11"/>
        <v>4.0999999999999995E-3</v>
      </c>
      <c r="M21" s="10">
        <f t="shared" si="11"/>
        <v>3.3E-3</v>
      </c>
      <c r="N21" s="10">
        <f t="shared" si="11"/>
        <v>3.0000000000000001E-3</v>
      </c>
      <c r="O21" s="10">
        <f t="shared" si="11"/>
        <v>2.65E-3</v>
      </c>
      <c r="P21" s="10">
        <f t="shared" si="11"/>
        <v>3.3E-3</v>
      </c>
      <c r="Q21" s="10">
        <f t="shared" si="11"/>
        <v>3.3999999999999998E-3</v>
      </c>
    </row>
    <row r="22" spans="3:17" x14ac:dyDescent="0.25">
      <c r="C22" s="2">
        <v>7.4999999999999997E-2</v>
      </c>
      <c r="D22" s="10">
        <f t="shared" ref="D22:Q22" si="12">D5/200</f>
        <v>4.1999999999999997E-3</v>
      </c>
      <c r="E22" s="10">
        <f t="shared" si="12"/>
        <v>4.4000000000000003E-3</v>
      </c>
      <c r="F22" s="10">
        <f t="shared" si="12"/>
        <v>4.6999999999999898E-3</v>
      </c>
      <c r="G22" s="10">
        <f t="shared" si="12"/>
        <v>4.7999999999999996E-3</v>
      </c>
      <c r="H22" s="10">
        <f t="shared" si="12"/>
        <v>4.4000000000000003E-3</v>
      </c>
      <c r="I22" s="10">
        <f t="shared" si="12"/>
        <v>5.45E-3</v>
      </c>
      <c r="J22" s="10">
        <f t="shared" si="12"/>
        <v>5.5000000000000005E-3</v>
      </c>
      <c r="K22" s="10">
        <f t="shared" si="12"/>
        <v>5.6999999999999499E-3</v>
      </c>
      <c r="L22" s="10">
        <f t="shared" si="12"/>
        <v>5.1999999999999998E-3</v>
      </c>
      <c r="M22" s="10">
        <f t="shared" si="12"/>
        <v>5.1999999999999998E-3</v>
      </c>
      <c r="N22" s="10">
        <f t="shared" si="12"/>
        <v>4.2500000000000003E-3</v>
      </c>
      <c r="O22" s="10">
        <f t="shared" si="12"/>
        <v>3.9500000000000004E-3</v>
      </c>
      <c r="P22" s="10">
        <f t="shared" si="12"/>
        <v>5.1999999999999998E-3</v>
      </c>
      <c r="Q22" s="10">
        <f t="shared" si="12"/>
        <v>4.7999999999999996E-3</v>
      </c>
    </row>
    <row r="23" spans="3:17" x14ac:dyDescent="0.25">
      <c r="C23" s="2">
        <v>0.1</v>
      </c>
      <c r="D23" s="10">
        <f t="shared" ref="D23:Q23" si="13">D6/200</f>
        <v>5.3E-3</v>
      </c>
      <c r="E23" s="10">
        <f t="shared" si="13"/>
        <v>5.2500000000000003E-3</v>
      </c>
      <c r="F23" s="10">
        <f t="shared" si="13"/>
        <v>5.5999999999999991E-3</v>
      </c>
      <c r="G23" s="10">
        <f t="shared" si="13"/>
        <v>6.5500000000000003E-3</v>
      </c>
      <c r="H23" s="10">
        <f t="shared" si="13"/>
        <v>6.0000000000000001E-3</v>
      </c>
      <c r="I23" s="10">
        <f t="shared" si="13"/>
        <v>7.45E-3</v>
      </c>
      <c r="J23" s="10">
        <f t="shared" si="13"/>
        <v>6.9999999999999993E-3</v>
      </c>
      <c r="K23" s="10">
        <f t="shared" si="13"/>
        <v>7.4499999999999497E-3</v>
      </c>
      <c r="L23" s="10">
        <f t="shared" si="13"/>
        <v>6.5500000000000003E-3</v>
      </c>
      <c r="M23" s="10">
        <f t="shared" si="13"/>
        <v>6.6E-3</v>
      </c>
      <c r="N23" s="10">
        <f t="shared" si="13"/>
        <v>5.8499999999999993E-3</v>
      </c>
      <c r="O23" s="10">
        <f t="shared" si="13"/>
        <v>5.45E-3</v>
      </c>
      <c r="P23" s="10">
        <f t="shared" si="13"/>
        <v>6.6E-3</v>
      </c>
      <c r="Q23" s="10">
        <f t="shared" si="13"/>
        <v>6.5500000000000003E-3</v>
      </c>
    </row>
    <row r="24" spans="3:17" x14ac:dyDescent="0.25">
      <c r="C24" s="2">
        <v>0.125</v>
      </c>
      <c r="D24" s="10">
        <f t="shared" ref="D24:Q24" si="14">D7/200</f>
        <v>6.8999999999999999E-3</v>
      </c>
      <c r="E24" s="10">
        <f t="shared" si="14"/>
        <v>6.3E-3</v>
      </c>
      <c r="F24" s="10">
        <f t="shared" si="14"/>
        <v>6.7999999999999996E-3</v>
      </c>
      <c r="G24" s="10">
        <f t="shared" si="14"/>
        <v>7.9500000000000005E-3</v>
      </c>
      <c r="H24" s="10">
        <f t="shared" si="14"/>
        <v>7.45E-3</v>
      </c>
      <c r="I24" s="10">
        <f t="shared" si="14"/>
        <v>9.1000000000000004E-3</v>
      </c>
      <c r="J24" s="10">
        <f t="shared" si="14"/>
        <v>8.6499999999999997E-3</v>
      </c>
      <c r="K24" s="10">
        <f t="shared" si="14"/>
        <v>9.0500000000000008E-3</v>
      </c>
      <c r="L24" s="10">
        <f t="shared" si="14"/>
        <v>8.149999999999949E-3</v>
      </c>
      <c r="M24" s="10">
        <f t="shared" si="14"/>
        <v>8.4499999999999992E-3</v>
      </c>
      <c r="N24" s="10">
        <f t="shared" si="14"/>
        <v>7.4499999999999497E-3</v>
      </c>
      <c r="O24" s="10">
        <f t="shared" si="14"/>
        <v>6.8000000000000005E-3</v>
      </c>
      <c r="P24" s="10">
        <f t="shared" si="14"/>
        <v>8.4499999999999992E-3</v>
      </c>
      <c r="Q24" s="10">
        <f t="shared" si="14"/>
        <v>7.9500000000000005E-3</v>
      </c>
    </row>
    <row r="25" spans="3:17" x14ac:dyDescent="0.25">
      <c r="C25" s="2">
        <v>0.17499999999999999</v>
      </c>
      <c r="D25" s="10">
        <f t="shared" ref="D25:Q25" si="15">D8/200</f>
        <v>1.01E-2</v>
      </c>
      <c r="E25" s="10">
        <f t="shared" si="15"/>
        <v>9.4500000000000001E-3</v>
      </c>
      <c r="F25" s="10">
        <f t="shared" si="15"/>
        <v>1.0500000000000001E-2</v>
      </c>
      <c r="G25" s="10">
        <f t="shared" si="15"/>
        <v>1.29E-2</v>
      </c>
      <c r="H25" s="10">
        <f t="shared" si="15"/>
        <v>1.095E-2</v>
      </c>
      <c r="I25" s="10">
        <f t="shared" si="15"/>
        <v>1.1899999999999999E-2</v>
      </c>
      <c r="J25" s="10">
        <f t="shared" si="15"/>
        <v>1.219999999999995E-2</v>
      </c>
      <c r="K25" s="10">
        <f t="shared" si="15"/>
        <v>1.2350000000000002E-2</v>
      </c>
      <c r="L25" s="10">
        <f t="shared" si="15"/>
        <v>1.125E-2</v>
      </c>
      <c r="M25" s="10">
        <f t="shared" si="15"/>
        <v>1.1850000000000001E-2</v>
      </c>
      <c r="N25" s="10">
        <f t="shared" si="15"/>
        <v>1.04E-2</v>
      </c>
      <c r="O25" s="10">
        <f t="shared" si="15"/>
        <v>9.7999999999999997E-3</v>
      </c>
      <c r="P25" s="10">
        <f t="shared" si="15"/>
        <v>1.1850000000000001E-2</v>
      </c>
      <c r="Q25" s="10">
        <f t="shared" si="15"/>
        <v>1.29E-2</v>
      </c>
    </row>
    <row r="26" spans="3:17" x14ac:dyDescent="0.25">
      <c r="C26" s="2">
        <v>0.22500000000000001</v>
      </c>
      <c r="D26" s="10">
        <f>D9/200</f>
        <v>1.34E-2</v>
      </c>
      <c r="E26" s="10"/>
      <c r="F26" s="10"/>
      <c r="G26" s="10">
        <f t="shared" ref="G26:I26" si="16">G9/200</f>
        <v>1.5599999999999998E-2</v>
      </c>
      <c r="H26" s="10">
        <f t="shared" si="16"/>
        <v>1.3600000000000001E-2</v>
      </c>
      <c r="I26" s="10">
        <f t="shared" si="16"/>
        <v>1.5100000000000001E-2</v>
      </c>
      <c r="J26" s="10">
        <f t="shared" ref="G26:Q26" si="17">J9/200</f>
        <v>1.5800000000000002E-2</v>
      </c>
      <c r="K26" s="10">
        <f t="shared" si="17"/>
        <v>1.5599999999999949E-2</v>
      </c>
      <c r="L26" s="10">
        <f t="shared" si="17"/>
        <v>1.44E-2</v>
      </c>
      <c r="M26" s="10">
        <f t="shared" si="17"/>
        <v>1.5049999999999999E-2</v>
      </c>
      <c r="N26" s="10">
        <f t="shared" si="17"/>
        <v>1.289999999999995E-2</v>
      </c>
      <c r="O26" s="10">
        <f t="shared" si="17"/>
        <v>1.18E-2</v>
      </c>
      <c r="P26" s="10">
        <f t="shared" si="17"/>
        <v>1.5049999999999999E-2</v>
      </c>
      <c r="Q26" s="10">
        <f t="shared" si="17"/>
        <v>1.5599999999999998E-2</v>
      </c>
    </row>
    <row r="27" spans="3:17" x14ac:dyDescent="0.25">
      <c r="C27" s="2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3:17" x14ac:dyDescent="0.25">
      <c r="C28" s="2" t="s">
        <v>19</v>
      </c>
      <c r="D28" s="10">
        <v>5.7197604790419097E-2</v>
      </c>
      <c r="E28" s="10">
        <v>5.33103015075376E-2</v>
      </c>
      <c r="F28" s="10">
        <v>0.06</v>
      </c>
      <c r="G28" s="10">
        <v>7.0772455089820302E-2</v>
      </c>
      <c r="H28" s="10">
        <v>8.0262970903900596E-2</v>
      </c>
      <c r="I28" s="10">
        <v>7.6315215201772604E-2</v>
      </c>
      <c r="J28" s="10">
        <v>7.30351305308716E-2</v>
      </c>
      <c r="K28" s="10">
        <v>7.5759450511982906E-2</v>
      </c>
      <c r="L28" s="10">
        <v>8.3853604211663005E-2</v>
      </c>
      <c r="M28" s="10">
        <v>6.7209580838323305E-2</v>
      </c>
      <c r="N28" s="10">
        <v>8.6374404191059601E-2</v>
      </c>
      <c r="O28" s="10">
        <v>9.34291322730018E-2</v>
      </c>
      <c r="P28" s="10">
        <v>6.7209580838323305E-2</v>
      </c>
      <c r="Q28" s="10">
        <v>7.0772455089820302E-2</v>
      </c>
    </row>
    <row r="29" spans="3:17" x14ac:dyDescent="0.25">
      <c r="C29" s="2" t="s">
        <v>20</v>
      </c>
      <c r="D29" s="10">
        <v>1.2455089820359E-4</v>
      </c>
      <c r="E29" s="10">
        <v>2.5961055276382198E-4</v>
      </c>
      <c r="F29" s="10">
        <v>-1.0615577889444899E-5</v>
      </c>
      <c r="G29" s="10">
        <v>-2.4266467065868201E-4</v>
      </c>
      <c r="H29" s="10">
        <v>3.8498730250922601E-3</v>
      </c>
      <c r="I29" s="10">
        <v>-8.6645152084871696E-3</v>
      </c>
      <c r="J29" s="10">
        <v>-4.0552051199410702E-3</v>
      </c>
      <c r="K29" s="10">
        <v>-1.19077963286809E-2</v>
      </c>
      <c r="L29" s="10">
        <v>-1.3988002834773101E-2</v>
      </c>
      <c r="M29" s="10">
        <v>1.79640718562558E-6</v>
      </c>
      <c r="N29" s="10">
        <v>-1.20226371613015E-3</v>
      </c>
      <c r="O29" s="10">
        <v>1.1337326353935799E-3</v>
      </c>
      <c r="P29" s="10">
        <v>1.79640718562558E-6</v>
      </c>
      <c r="Q29" s="10">
        <v>-2.4266467065868201E-4</v>
      </c>
    </row>
    <row r="30" spans="3:17" x14ac:dyDescent="0.25">
      <c r="C30" s="2" t="s">
        <v>1</v>
      </c>
      <c r="D30" s="1">
        <f t="shared" ref="D30:Q30" si="18">SLOPE(D20:D26,$C$3:$C$9)</f>
        <v>5.7197604790419181E-2</v>
      </c>
      <c r="E30" s="1">
        <f t="shared" si="18"/>
        <v>4.7857142857142904E-2</v>
      </c>
      <c r="F30" s="1">
        <f t="shared" si="18"/>
        <v>5.4571428571428639E-2</v>
      </c>
      <c r="G30" s="1">
        <f t="shared" si="18"/>
        <v>7.0772455089820357E-2</v>
      </c>
      <c r="H30" s="1">
        <f t="shared" ref="H30:I30" si="19">SLOPE(H20:H26,$C$3:$C$9)</f>
        <v>6.2227544910179643E-2</v>
      </c>
      <c r="I30" s="1">
        <f t="shared" si="19"/>
        <v>6.5335329341317375E-2</v>
      </c>
      <c r="J30" s="1">
        <f t="shared" si="18"/>
        <v>6.8389221556886134E-2</v>
      </c>
      <c r="K30" s="1">
        <f t="shared" si="18"/>
        <v>6.5994011976047803E-2</v>
      </c>
      <c r="L30" s="1">
        <f t="shared" si="18"/>
        <v>5.9514970059880219E-2</v>
      </c>
      <c r="M30" s="1">
        <f t="shared" si="18"/>
        <v>6.7209580838323374E-2</v>
      </c>
      <c r="N30" s="1">
        <f t="shared" si="18"/>
        <v>5.7814371257484821E-2</v>
      </c>
      <c r="O30" s="1">
        <f t="shared" si="18"/>
        <v>5.3353293413173658E-2</v>
      </c>
      <c r="P30" s="1">
        <f t="shared" si="18"/>
        <v>6.7209580838323374E-2</v>
      </c>
      <c r="Q30" s="1">
        <f t="shared" si="18"/>
        <v>7.0772455089820357E-2</v>
      </c>
    </row>
    <row r="31" spans="3:17" x14ac:dyDescent="0.25">
      <c r="C31" s="2" t="s">
        <v>6</v>
      </c>
      <c r="D31" s="1">
        <f t="shared" ref="D31" si="20">1/D30</f>
        <v>17.483249581239527</v>
      </c>
      <c r="E31" s="1">
        <f t="shared" ref="E31" si="21">1/E30</f>
        <v>20.895522388059682</v>
      </c>
      <c r="F31" s="1">
        <f t="shared" ref="F31" si="22">1/F30</f>
        <v>18.324607329842909</v>
      </c>
      <c r="G31" s="1">
        <f t="shared" ref="G31:I31" si="23">1/G30</f>
        <v>14.12979101446823</v>
      </c>
      <c r="H31" s="1">
        <f t="shared" si="23"/>
        <v>16.070053887605852</v>
      </c>
      <c r="I31" s="1">
        <f t="shared" si="23"/>
        <v>15.305654843735677</v>
      </c>
      <c r="J31" s="1">
        <f t="shared" ref="J31" si="24">1/J30</f>
        <v>14.62218719901937</v>
      </c>
      <c r="K31" s="1">
        <f t="shared" ref="K31" si="25">1/K30</f>
        <v>15.152889937392274</v>
      </c>
      <c r="L31" s="1">
        <f t="shared" ref="L31" si="26">1/L30</f>
        <v>16.802495220847174</v>
      </c>
      <c r="M31" s="1">
        <f t="shared" ref="M31" si="27">1/M30</f>
        <v>14.878831076265142</v>
      </c>
      <c r="N31" s="1">
        <f t="shared" ref="N31" si="28">1/N30</f>
        <v>17.296737441740092</v>
      </c>
      <c r="O31" s="1">
        <f t="shared" ref="O31" si="29">1/O30</f>
        <v>18.742985409652075</v>
      </c>
      <c r="P31" s="1">
        <f t="shared" ref="P31" si="30">1/P30</f>
        <v>14.878831076265142</v>
      </c>
      <c r="Q31" s="1">
        <f t="shared" ref="Q31" si="31">1/Q30</f>
        <v>14.12979101446823</v>
      </c>
    </row>
    <row r="32" spans="3:17" x14ac:dyDescent="0.25">
      <c r="C32" s="2" t="s">
        <v>36</v>
      </c>
      <c r="D32" s="2">
        <f>RSQ(D20:D26,$C$3:$C$9)</f>
        <v>0.99011163476804231</v>
      </c>
      <c r="E32" s="2">
        <f t="shared" ref="E32:Q32" si="32">RSQ(E20:E26,$C$3:$C$9)</f>
        <v>0.98855226091965953</v>
      </c>
      <c r="F32" s="2">
        <f t="shared" si="32"/>
        <v>0.98520211888265818</v>
      </c>
      <c r="G32" s="2">
        <f t="shared" si="32"/>
        <v>0.99104714449321696</v>
      </c>
      <c r="H32" s="2">
        <f t="shared" si="32"/>
        <v>0.99891352530938415</v>
      </c>
      <c r="I32" s="2">
        <f t="shared" si="32"/>
        <v>0.99721594379226497</v>
      </c>
      <c r="J32" s="2">
        <f t="shared" si="32"/>
        <v>0.99896314466237679</v>
      </c>
      <c r="K32" s="2">
        <f t="shared" si="32"/>
        <v>0.99993401687732186</v>
      </c>
      <c r="L32" s="2">
        <f t="shared" si="32"/>
        <v>0.99810894881403478</v>
      </c>
      <c r="M32" s="2">
        <f t="shared" si="32"/>
        <v>0.99955523194682572</v>
      </c>
      <c r="N32" s="2">
        <f t="shared" si="32"/>
        <v>0.99873637420919859</v>
      </c>
      <c r="O32" s="2">
        <f t="shared" si="32"/>
        <v>0.99695038149993542</v>
      </c>
      <c r="P32" s="2">
        <f t="shared" si="32"/>
        <v>0.99955523194682572</v>
      </c>
      <c r="Q32" s="2">
        <f t="shared" si="32"/>
        <v>0.99104714449321696</v>
      </c>
    </row>
    <row r="33" spans="3:17" x14ac:dyDescent="0.25">
      <c r="C33" s="1" t="s">
        <v>5</v>
      </c>
      <c r="D33" s="15">
        <f t="shared" ref="D33:Q33" si="33">INTERCEPT(D20:D26,$C$3:$C$9)</f>
        <v>1.2455089820358894E-4</v>
      </c>
      <c r="E33" s="15">
        <f t="shared" si="33"/>
        <v>7.2142857142856558E-4</v>
      </c>
      <c r="F33" s="15">
        <f t="shared" si="33"/>
        <v>4.8928571428570426E-4</v>
      </c>
      <c r="G33" s="15">
        <f t="shared" si="33"/>
        <v>-2.4266467065868318E-4</v>
      </c>
      <c r="H33" s="15">
        <f t="shared" ref="H33:I33" si="34">INTERCEPT(H20:H26,$C$3:$C$9)</f>
        <v>-2.3233532934131829E-4</v>
      </c>
      <c r="I33" s="15">
        <f t="shared" si="34"/>
        <v>5.8787425149700416E-4</v>
      </c>
      <c r="J33" s="15">
        <f t="shared" si="33"/>
        <v>2.8547904191616926E-4</v>
      </c>
      <c r="K33" s="15">
        <f t="shared" si="33"/>
        <v>7.8637724550897035E-4</v>
      </c>
      <c r="L33" s="15">
        <f t="shared" si="33"/>
        <v>8.4655688622753845E-4</v>
      </c>
      <c r="M33" s="15">
        <f t="shared" si="33"/>
        <v>1.7964071856255842E-6</v>
      </c>
      <c r="N33" s="15">
        <f t="shared" si="33"/>
        <v>7.7694610778452668E-5</v>
      </c>
      <c r="O33" s="15">
        <f t="shared" si="33"/>
        <v>7.8742514970059352E-5</v>
      </c>
      <c r="P33" s="15">
        <f t="shared" si="33"/>
        <v>1.7964071856255842E-6</v>
      </c>
      <c r="Q33" s="15">
        <f t="shared" si="33"/>
        <v>-2.4266467065868318E-4</v>
      </c>
    </row>
    <row r="34" spans="3:17" x14ac:dyDescent="0.25">
      <c r="D34">
        <f t="shared" ref="D34" si="35">ABS((D33-D29)/D33)</f>
        <v>8.4872701314883529E-15</v>
      </c>
      <c r="E34">
        <f t="shared" ref="E34" si="36">ABS((E33-E29)/E33)</f>
        <v>0.64014378824816465</v>
      </c>
      <c r="F34">
        <f t="shared" ref="F34" si="37">ABS((F33-F29)/F33)</f>
        <v>1.0216960715988659</v>
      </c>
      <c r="G34">
        <f t="shared" ref="G34" si="38">ABS((G33-G29)/G33)</f>
        <v>4.8029955586788341E-15</v>
      </c>
      <c r="H34">
        <f>ABS((H33-H29)/H33)</f>
        <v>17.570329772948579</v>
      </c>
      <c r="I34">
        <f t="shared" ref="I34:Q34" si="39">ABS((I33-I29)/I33)</f>
        <v>15.738722076061745</v>
      </c>
      <c r="J34">
        <f t="shared" si="39"/>
        <v>15.204913582174198</v>
      </c>
      <c r="K34">
        <f t="shared" si="39"/>
        <v>16.142600318977649</v>
      </c>
      <c r="L34">
        <f t="shared" si="39"/>
        <v>17.52340564744209</v>
      </c>
      <c r="M34">
        <f t="shared" si="39"/>
        <v>2.3575750365286141E-15</v>
      </c>
      <c r="N34">
        <f t="shared" si="39"/>
        <v>16.474222781788853</v>
      </c>
      <c r="O34">
        <f t="shared" si="39"/>
        <v>13.397973392450883</v>
      </c>
      <c r="P34">
        <f t="shared" si="39"/>
        <v>2.3575750365286141E-15</v>
      </c>
      <c r="Q34">
        <f t="shared" si="39"/>
        <v>4.8029955586788341E-15</v>
      </c>
    </row>
  </sheetData>
  <conditionalFormatting sqref="D30:Q31">
    <cfRule type="colorScale" priority="13">
      <colorScale>
        <cfvo type="min"/>
        <cfvo type="max"/>
        <color rgb="FFFCFCFF"/>
        <color rgb="FF63BE7B"/>
      </colorScale>
    </cfRule>
  </conditionalFormatting>
  <conditionalFormatting sqref="D34:Q3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V14">
    <cfRule type="colorScale" priority="11">
      <colorScale>
        <cfvo type="min"/>
        <cfvo type="max"/>
        <color rgb="FFFCFCFF"/>
        <color rgb="FF63BE7B"/>
      </colorScale>
    </cfRule>
  </conditionalFormatting>
  <conditionalFormatting sqref="R3:V3">
    <cfRule type="colorScale" priority="10">
      <colorScale>
        <cfvo type="min"/>
        <cfvo type="max"/>
        <color rgb="FFFCFCFF"/>
        <color rgb="FF63BE7B"/>
      </colorScale>
    </cfRule>
  </conditionalFormatting>
  <conditionalFormatting sqref="R4:V4">
    <cfRule type="colorScale" priority="9">
      <colorScale>
        <cfvo type="min"/>
        <cfvo type="max"/>
        <color rgb="FFFCFCFF"/>
        <color rgb="FF63BE7B"/>
      </colorScale>
    </cfRule>
  </conditionalFormatting>
  <conditionalFormatting sqref="R5:V5">
    <cfRule type="colorScale" priority="8">
      <colorScale>
        <cfvo type="min"/>
        <cfvo type="max"/>
        <color rgb="FFFCFCFF"/>
        <color rgb="FF63BE7B"/>
      </colorScale>
    </cfRule>
  </conditionalFormatting>
  <conditionalFormatting sqref="R6:V6">
    <cfRule type="colorScale" priority="7">
      <colorScale>
        <cfvo type="min"/>
        <cfvo type="max"/>
        <color rgb="FFFCFCFF"/>
        <color rgb="FF63BE7B"/>
      </colorScale>
    </cfRule>
  </conditionalFormatting>
  <conditionalFormatting sqref="R7:V7">
    <cfRule type="colorScale" priority="6">
      <colorScale>
        <cfvo type="min"/>
        <cfvo type="max"/>
        <color rgb="FFFCFCFF"/>
        <color rgb="FF63BE7B"/>
      </colorScale>
    </cfRule>
  </conditionalFormatting>
  <conditionalFormatting sqref="R8:V8">
    <cfRule type="colorScale" priority="5">
      <colorScale>
        <cfvo type="min"/>
        <cfvo type="max"/>
        <color rgb="FFFCFCFF"/>
        <color rgb="FF63BE7B"/>
      </colorScale>
    </cfRule>
  </conditionalFormatting>
  <conditionalFormatting sqref="R9:V12">
    <cfRule type="colorScale" priority="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verticalDpi="0" r:id="rId1"/>
  <ignoredErrors>
    <ignoredError sqref="J13 J14:J16 K14:R16 K13:Q13 D14:G16 D13:G1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77262-00B5-4A76-A51D-48A786A5A057}">
  <dimension ref="A1:AG32"/>
  <sheetViews>
    <sheetView tabSelected="1" topLeftCell="A2" workbookViewId="0">
      <selection activeCell="K2" sqref="K2"/>
    </sheetView>
  </sheetViews>
  <sheetFormatPr defaultRowHeight="15" x14ac:dyDescent="0.25"/>
  <cols>
    <col min="3" max="3" width="9.140625" style="10"/>
    <col min="4" max="4" width="9.140625" style="9"/>
    <col min="7" max="8" width="9.28515625" customWidth="1"/>
    <col min="10" max="10" width="13.5703125" customWidth="1"/>
  </cols>
  <sheetData>
    <row r="1" spans="1:22" s="23" customFormat="1" x14ac:dyDescent="0.25">
      <c r="L1" s="24"/>
      <c r="M1" s="24"/>
    </row>
    <row r="2" spans="1:22" ht="90" x14ac:dyDescent="0.25">
      <c r="A2" s="17" t="s">
        <v>32</v>
      </c>
      <c r="B2" s="19" t="s">
        <v>31</v>
      </c>
      <c r="C2" s="22" t="s">
        <v>30</v>
      </c>
      <c r="D2" s="21" t="s">
        <v>29</v>
      </c>
      <c r="E2" s="20" t="s">
        <v>28</v>
      </c>
      <c r="F2" s="20" t="s">
        <v>27</v>
      </c>
      <c r="G2" s="19" t="s">
        <v>26</v>
      </c>
      <c r="H2" s="19" t="s">
        <v>25</v>
      </c>
      <c r="I2" s="19" t="s">
        <v>24</v>
      </c>
      <c r="J2" s="19" t="s">
        <v>23</v>
      </c>
      <c r="L2">
        <v>0</v>
      </c>
      <c r="M2">
        <v>0.01</v>
      </c>
      <c r="N2">
        <v>0.02</v>
      </c>
      <c r="O2">
        <v>0.03</v>
      </c>
      <c r="P2">
        <v>0.04</v>
      </c>
      <c r="Q2">
        <v>0.05</v>
      </c>
      <c r="R2">
        <v>0.06</v>
      </c>
      <c r="S2">
        <v>7.0000000000000007E-2</v>
      </c>
      <c r="T2">
        <v>0.08</v>
      </c>
      <c r="U2">
        <v>0.09</v>
      </c>
      <c r="V2">
        <v>0.22</v>
      </c>
    </row>
    <row r="3" spans="1:22" x14ac:dyDescent="0.25">
      <c r="A3" s="17" t="s">
        <v>9</v>
      </c>
      <c r="B3" s="16">
        <v>2.58</v>
      </c>
      <c r="C3" s="15">
        <v>5.7197604790419097E-2</v>
      </c>
      <c r="D3" s="14">
        <f t="shared" ref="D3:D14" si="0">1/C3</f>
        <v>17.483249581239551</v>
      </c>
      <c r="E3" s="15">
        <v>1.2455089820359E-4</v>
      </c>
      <c r="F3" s="14">
        <v>0.99011163476804198</v>
      </c>
      <c r="G3" s="1">
        <v>85</v>
      </c>
      <c r="H3" s="1">
        <f t="shared" ref="H3:H14" si="1">(0.005-E3)/C3</f>
        <v>8.523869346733684E-2</v>
      </c>
      <c r="I3" s="1">
        <v>96</v>
      </c>
      <c r="J3" s="1">
        <v>0.91</v>
      </c>
      <c r="L3">
        <f t="shared" ref="L3:V14" si="2">$C3*L$2+$E3</f>
        <v>1.2455089820359E-4</v>
      </c>
      <c r="M3">
        <f t="shared" si="2"/>
        <v>6.9652694610778103E-4</v>
      </c>
      <c r="N3">
        <f t="shared" si="2"/>
        <v>1.268502994011972E-3</v>
      </c>
      <c r="O3">
        <f t="shared" si="2"/>
        <v>1.8404790419161629E-3</v>
      </c>
      <c r="P3">
        <f t="shared" si="2"/>
        <v>2.4124550898203538E-3</v>
      </c>
      <c r="Q3">
        <f t="shared" si="2"/>
        <v>2.9844311377245449E-3</v>
      </c>
      <c r="R3">
        <f t="shared" si="2"/>
        <v>3.5564071856287356E-3</v>
      </c>
      <c r="S3">
        <f t="shared" si="2"/>
        <v>4.1283832335329267E-3</v>
      </c>
      <c r="T3">
        <f t="shared" si="2"/>
        <v>4.7003592814371178E-3</v>
      </c>
      <c r="U3">
        <f t="shared" si="2"/>
        <v>5.2723353293413081E-3</v>
      </c>
      <c r="V3">
        <f t="shared" si="2"/>
        <v>1.2708023952095792E-2</v>
      </c>
    </row>
    <row r="4" spans="1:22" x14ac:dyDescent="0.25">
      <c r="A4" s="17" t="s">
        <v>10</v>
      </c>
      <c r="B4" s="16">
        <v>2.0099999999999998</v>
      </c>
      <c r="C4" s="15">
        <v>5.33103015075376E-2</v>
      </c>
      <c r="D4" s="14">
        <f t="shared" si="0"/>
        <v>18.758100624484538</v>
      </c>
      <c r="E4" s="15">
        <v>2.5961055276382198E-4</v>
      </c>
      <c r="F4" s="14">
        <v>0.99324843891480497</v>
      </c>
      <c r="G4" s="18" t="s">
        <v>22</v>
      </c>
      <c r="H4" s="1">
        <f t="shared" si="1"/>
        <v>8.892070225050086E-2</v>
      </c>
      <c r="I4" s="1">
        <v>96</v>
      </c>
      <c r="J4" s="1">
        <v>0.82</v>
      </c>
      <c r="L4">
        <f t="shared" si="2"/>
        <v>2.5961055276382198E-4</v>
      </c>
      <c r="M4">
        <f t="shared" si="2"/>
        <v>7.9271356783919798E-4</v>
      </c>
      <c r="N4">
        <f t="shared" si="2"/>
        <v>1.3258165829145739E-3</v>
      </c>
      <c r="O4">
        <f t="shared" si="2"/>
        <v>1.8589195979899498E-3</v>
      </c>
      <c r="P4">
        <f t="shared" si="2"/>
        <v>2.3920226130653261E-3</v>
      </c>
      <c r="Q4">
        <f t="shared" si="2"/>
        <v>2.9251256281407024E-3</v>
      </c>
      <c r="R4">
        <f t="shared" si="2"/>
        <v>3.4582286432160779E-3</v>
      </c>
      <c r="S4">
        <f t="shared" si="2"/>
        <v>3.9913316582914542E-3</v>
      </c>
      <c r="T4">
        <f t="shared" si="2"/>
        <v>4.5244346733668301E-3</v>
      </c>
      <c r="U4">
        <f t="shared" si="2"/>
        <v>5.057537688442206E-3</v>
      </c>
      <c r="V4">
        <f t="shared" si="2"/>
        <v>1.1987876884422093E-2</v>
      </c>
    </row>
    <row r="5" spans="1:22" x14ac:dyDescent="0.25">
      <c r="A5" s="17" t="s">
        <v>11</v>
      </c>
      <c r="B5" s="16">
        <v>3.61</v>
      </c>
      <c r="C5" s="15">
        <v>0.06</v>
      </c>
      <c r="D5" s="14">
        <f t="shared" si="0"/>
        <v>16.666666666666668</v>
      </c>
      <c r="E5" s="15">
        <v>-1.0615577889444899E-5</v>
      </c>
      <c r="F5" s="14">
        <v>0.99293185126913597</v>
      </c>
      <c r="G5" s="13">
        <v>83</v>
      </c>
      <c r="H5" s="1">
        <f t="shared" si="1"/>
        <v>8.3510259631490752E-2</v>
      </c>
      <c r="I5" s="1">
        <v>86</v>
      </c>
      <c r="J5" s="1">
        <v>0.83</v>
      </c>
      <c r="L5">
        <f t="shared" si="2"/>
        <v>-1.0615577889444899E-5</v>
      </c>
      <c r="M5">
        <f t="shared" si="2"/>
        <v>5.8938442211055504E-4</v>
      </c>
      <c r="N5">
        <f t="shared" si="2"/>
        <v>1.189384422110555E-3</v>
      </c>
      <c r="O5">
        <f t="shared" si="2"/>
        <v>1.789384422110555E-3</v>
      </c>
      <c r="P5">
        <f t="shared" si="2"/>
        <v>2.3893844221105549E-3</v>
      </c>
      <c r="Q5">
        <f t="shared" si="2"/>
        <v>2.9893844221105552E-3</v>
      </c>
      <c r="R5">
        <f t="shared" si="2"/>
        <v>3.589384422110555E-3</v>
      </c>
      <c r="S5">
        <f t="shared" si="2"/>
        <v>4.1893844221105557E-3</v>
      </c>
      <c r="T5">
        <f t="shared" si="2"/>
        <v>4.7893844221105547E-3</v>
      </c>
      <c r="U5">
        <f t="shared" si="2"/>
        <v>5.3893844221105545E-3</v>
      </c>
      <c r="V5">
        <f t="shared" si="2"/>
        <v>1.3189384422110555E-2</v>
      </c>
    </row>
    <row r="6" spans="1:22" x14ac:dyDescent="0.25">
      <c r="A6" s="17" t="s">
        <v>12</v>
      </c>
      <c r="B6" s="16">
        <v>3.54</v>
      </c>
      <c r="C6" s="15">
        <v>7.0772455089820302E-2</v>
      </c>
      <c r="D6" s="14">
        <f t="shared" si="0"/>
        <v>14.129791014468241</v>
      </c>
      <c r="E6" s="15">
        <v>-2.4266467065868201E-4</v>
      </c>
      <c r="F6" s="14">
        <v>0.99104714449321596</v>
      </c>
      <c r="G6" s="13">
        <v>74</v>
      </c>
      <c r="H6" s="1">
        <f t="shared" si="1"/>
        <v>7.407775615534315E-2</v>
      </c>
      <c r="I6" s="1">
        <v>77</v>
      </c>
      <c r="J6" s="1">
        <v>0.83</v>
      </c>
      <c r="L6">
        <f t="shared" si="2"/>
        <v>-2.4266467065868201E-4</v>
      </c>
      <c r="M6">
        <f t="shared" si="2"/>
        <v>4.6505988023952101E-4</v>
      </c>
      <c r="N6">
        <f t="shared" si="2"/>
        <v>1.1727844311377239E-3</v>
      </c>
      <c r="O6">
        <f t="shared" si="2"/>
        <v>1.8805089820359267E-3</v>
      </c>
      <c r="P6">
        <f t="shared" si="2"/>
        <v>2.5882335329341301E-3</v>
      </c>
      <c r="Q6">
        <f t="shared" si="2"/>
        <v>3.2959580838323333E-3</v>
      </c>
      <c r="R6">
        <f t="shared" si="2"/>
        <v>4.0036826347305352E-3</v>
      </c>
      <c r="S6">
        <f t="shared" si="2"/>
        <v>4.7114071856287397E-3</v>
      </c>
      <c r="T6">
        <f t="shared" si="2"/>
        <v>5.4191317365269416E-3</v>
      </c>
      <c r="U6">
        <f t="shared" si="2"/>
        <v>6.1268562874251444E-3</v>
      </c>
      <c r="V6">
        <f t="shared" si="2"/>
        <v>1.5327275449101785E-2</v>
      </c>
    </row>
    <row r="7" spans="1:22" x14ac:dyDescent="0.25">
      <c r="A7" s="17" t="s">
        <v>13</v>
      </c>
      <c r="B7" s="16">
        <v>5.08</v>
      </c>
      <c r="C7" s="15">
        <v>7.30351305308716E-2</v>
      </c>
      <c r="D7" s="14">
        <f t="shared" si="0"/>
        <v>13.692040977147357</v>
      </c>
      <c r="E7" s="15">
        <v>-4.0552051199410702E-3</v>
      </c>
      <c r="F7" s="14">
        <v>0.99896314466237601</v>
      </c>
      <c r="G7" s="13">
        <v>123</v>
      </c>
      <c r="H7" s="1">
        <f t="shared" si="1"/>
        <v>0.1239842395587077</v>
      </c>
      <c r="I7" s="1">
        <v>68</v>
      </c>
      <c r="J7" s="1">
        <v>0.9</v>
      </c>
      <c r="L7">
        <f t="shared" si="2"/>
        <v>-4.0552051199410702E-3</v>
      </c>
      <c r="M7">
        <f t="shared" si="2"/>
        <v>-3.3248538146323542E-3</v>
      </c>
      <c r="N7">
        <f t="shared" si="2"/>
        <v>-2.5945025093236382E-3</v>
      </c>
      <c r="O7">
        <f t="shared" si="2"/>
        <v>-1.8641512040149222E-3</v>
      </c>
      <c r="P7">
        <f t="shared" si="2"/>
        <v>-1.1337998987062062E-3</v>
      </c>
      <c r="Q7">
        <f t="shared" si="2"/>
        <v>-4.0344859339748983E-4</v>
      </c>
      <c r="R7">
        <f t="shared" si="2"/>
        <v>3.2690271191122573E-4</v>
      </c>
      <c r="S7">
        <f t="shared" si="2"/>
        <v>1.0572540172199421E-3</v>
      </c>
      <c r="T7">
        <f t="shared" si="2"/>
        <v>1.7876053225286577E-3</v>
      </c>
      <c r="U7">
        <f t="shared" si="2"/>
        <v>2.5179566278373732E-3</v>
      </c>
      <c r="V7">
        <f t="shared" si="2"/>
        <v>1.2012523596850681E-2</v>
      </c>
    </row>
    <row r="8" spans="1:22" x14ac:dyDescent="0.25">
      <c r="A8" s="17" t="s">
        <v>21</v>
      </c>
      <c r="B8" s="16">
        <v>4.76</v>
      </c>
      <c r="C8" s="15">
        <v>7.5759450511982906E-2</v>
      </c>
      <c r="D8" s="14">
        <f t="shared" si="0"/>
        <v>13.199673350875605</v>
      </c>
      <c r="E8" s="15">
        <v>-1.19077963286809E-2</v>
      </c>
      <c r="F8" s="14">
        <v>0.99993401687732197</v>
      </c>
      <c r="G8" s="1">
        <v>223</v>
      </c>
      <c r="H8" s="1">
        <f>(0.005-E8)/C8</f>
        <v>0.22317738862172168</v>
      </c>
      <c r="I8" s="1">
        <v>65</v>
      </c>
      <c r="J8" s="1">
        <v>0.84</v>
      </c>
      <c r="L8">
        <f t="shared" si="2"/>
        <v>-1.19077963286809E-2</v>
      </c>
      <c r="M8">
        <f t="shared" si="2"/>
        <v>-1.1150201823561072E-2</v>
      </c>
      <c r="N8">
        <f t="shared" si="2"/>
        <v>-1.0392607318441242E-2</v>
      </c>
      <c r="O8">
        <f t="shared" si="2"/>
        <v>-9.635012813321412E-3</v>
      </c>
      <c r="P8">
        <f t="shared" si="2"/>
        <v>-8.8774183082015838E-3</v>
      </c>
      <c r="Q8">
        <f t="shared" si="2"/>
        <v>-8.1198238030817556E-3</v>
      </c>
      <c r="R8">
        <f t="shared" si="2"/>
        <v>-7.3622292979619256E-3</v>
      </c>
      <c r="S8">
        <f t="shared" si="2"/>
        <v>-6.6046347928420965E-3</v>
      </c>
      <c r="T8">
        <f t="shared" si="2"/>
        <v>-5.8470402877222674E-3</v>
      </c>
      <c r="U8">
        <f t="shared" si="2"/>
        <v>-5.0894457826024392E-3</v>
      </c>
      <c r="V8">
        <f t="shared" si="2"/>
        <v>4.7592827839553382E-3</v>
      </c>
    </row>
    <row r="9" spans="1:22" x14ac:dyDescent="0.25">
      <c r="A9" s="17" t="s">
        <v>7</v>
      </c>
      <c r="B9" s="16">
        <v>4.0599999999999996</v>
      </c>
      <c r="C9" s="15">
        <v>7.5759450511982906E-2</v>
      </c>
      <c r="D9" s="14">
        <f t="shared" si="0"/>
        <v>13.199673350875605</v>
      </c>
      <c r="E9" s="15">
        <v>-1.19077963286809E-2</v>
      </c>
      <c r="F9" s="14">
        <v>0.99993401687732197</v>
      </c>
      <c r="G9" s="13">
        <v>223</v>
      </c>
      <c r="H9" s="1">
        <f t="shared" si="1"/>
        <v>0.22317738862172168</v>
      </c>
      <c r="I9" s="1">
        <v>65</v>
      </c>
      <c r="J9" s="1">
        <v>0.85</v>
      </c>
      <c r="L9">
        <f t="shared" si="2"/>
        <v>-1.19077963286809E-2</v>
      </c>
      <c r="M9">
        <f t="shared" si="2"/>
        <v>-1.1150201823561072E-2</v>
      </c>
      <c r="N9">
        <f t="shared" si="2"/>
        <v>-1.0392607318441242E-2</v>
      </c>
      <c r="O9">
        <f t="shared" si="2"/>
        <v>-9.635012813321412E-3</v>
      </c>
      <c r="P9">
        <f t="shared" si="2"/>
        <v>-8.8774183082015838E-3</v>
      </c>
      <c r="Q9">
        <f t="shared" si="2"/>
        <v>-8.1198238030817556E-3</v>
      </c>
      <c r="R9">
        <f t="shared" si="2"/>
        <v>-7.3622292979619256E-3</v>
      </c>
      <c r="S9">
        <f t="shared" si="2"/>
        <v>-6.6046347928420965E-3</v>
      </c>
      <c r="T9">
        <f t="shared" si="2"/>
        <v>-5.8470402877222674E-3</v>
      </c>
      <c r="U9">
        <f t="shared" si="2"/>
        <v>-5.0894457826024392E-3</v>
      </c>
      <c r="V9">
        <f t="shared" si="2"/>
        <v>4.7592827839553382E-3</v>
      </c>
    </row>
    <row r="10" spans="1:22" x14ac:dyDescent="0.25">
      <c r="A10" s="17" t="s">
        <v>8</v>
      </c>
      <c r="B10" s="16">
        <v>4.16</v>
      </c>
      <c r="C10" s="15">
        <v>8.3853604211663005E-2</v>
      </c>
      <c r="D10" s="14">
        <f t="shared" si="0"/>
        <v>11.925545829560328</v>
      </c>
      <c r="E10" s="15">
        <v>-1.3988002834773101E-2</v>
      </c>
      <c r="F10" s="14">
        <v>0.998108948814035</v>
      </c>
      <c r="G10" s="13">
        <v>226</v>
      </c>
      <c r="H10" s="1">
        <f t="shared" si="1"/>
        <v>0.22644229801790802</v>
      </c>
      <c r="I10" s="1">
        <v>73</v>
      </c>
      <c r="J10" s="1">
        <v>0.99</v>
      </c>
      <c r="L10">
        <f t="shared" si="2"/>
        <v>-1.3988002834773101E-2</v>
      </c>
      <c r="M10">
        <f t="shared" si="2"/>
        <v>-1.314946679265647E-2</v>
      </c>
      <c r="N10">
        <f t="shared" si="2"/>
        <v>-1.231093075053984E-2</v>
      </c>
      <c r="O10">
        <f t="shared" si="2"/>
        <v>-1.1472394708423211E-2</v>
      </c>
      <c r="P10">
        <f t="shared" si="2"/>
        <v>-1.0633858666306581E-2</v>
      </c>
      <c r="Q10">
        <f t="shared" si="2"/>
        <v>-9.7953226241899501E-3</v>
      </c>
      <c r="R10">
        <f t="shared" si="2"/>
        <v>-8.9567865820733214E-3</v>
      </c>
      <c r="S10">
        <f t="shared" si="2"/>
        <v>-8.1182505399566909E-3</v>
      </c>
      <c r="T10">
        <f t="shared" si="2"/>
        <v>-7.2797144978400605E-3</v>
      </c>
      <c r="U10">
        <f t="shared" si="2"/>
        <v>-6.4411784557234309E-3</v>
      </c>
      <c r="V10">
        <f t="shared" si="2"/>
        <v>4.4597900917927591E-3</v>
      </c>
    </row>
    <row r="11" spans="1:22" x14ac:dyDescent="0.25">
      <c r="A11" s="17" t="s">
        <v>14</v>
      </c>
      <c r="B11" s="16">
        <v>2.4900000000000002</v>
      </c>
      <c r="C11" s="15">
        <v>6.7209580838323305E-2</v>
      </c>
      <c r="D11" s="14">
        <f t="shared" si="0"/>
        <v>14.878831076265158</v>
      </c>
      <c r="E11" s="15">
        <v>1.79640718562558E-6</v>
      </c>
      <c r="F11" s="14">
        <v>0.99955523194682505</v>
      </c>
      <c r="G11" s="13">
        <v>74</v>
      </c>
      <c r="H11" s="1">
        <f t="shared" si="1"/>
        <v>7.4367426942266668E-2</v>
      </c>
      <c r="I11" s="1">
        <v>72</v>
      </c>
      <c r="J11" s="1">
        <v>0.5</v>
      </c>
      <c r="L11">
        <f t="shared" si="2"/>
        <v>1.79640718562558E-6</v>
      </c>
      <c r="M11">
        <f t="shared" si="2"/>
        <v>6.738922155688586E-4</v>
      </c>
      <c r="N11">
        <f t="shared" si="2"/>
        <v>1.3459880239520916E-3</v>
      </c>
      <c r="O11">
        <f t="shared" si="2"/>
        <v>2.0180838323353247E-3</v>
      </c>
      <c r="P11">
        <f t="shared" si="2"/>
        <v>2.6901796407185576E-3</v>
      </c>
      <c r="Q11">
        <f t="shared" si="2"/>
        <v>3.362275449101791E-3</v>
      </c>
      <c r="R11">
        <f t="shared" si="2"/>
        <v>4.0343712574850239E-3</v>
      </c>
      <c r="S11">
        <f t="shared" si="2"/>
        <v>4.7064670658682577E-3</v>
      </c>
      <c r="T11">
        <f t="shared" si="2"/>
        <v>5.3785628742514897E-3</v>
      </c>
      <c r="U11">
        <f t="shared" si="2"/>
        <v>6.0506586826347226E-3</v>
      </c>
      <c r="V11">
        <f t="shared" si="2"/>
        <v>1.4787904191616753E-2</v>
      </c>
    </row>
    <row r="12" spans="1:22" x14ac:dyDescent="0.25">
      <c r="A12" s="17" t="s">
        <v>15</v>
      </c>
      <c r="B12" s="16">
        <v>3.6</v>
      </c>
      <c r="C12" s="15">
        <v>8.6374404191059601E-2</v>
      </c>
      <c r="D12" s="14">
        <f t="shared" si="0"/>
        <v>11.577503883997935</v>
      </c>
      <c r="E12" s="15">
        <v>-1.20226371613015E-3</v>
      </c>
      <c r="F12" s="14">
        <v>0.99873637420919803</v>
      </c>
      <c r="G12" s="13">
        <v>113</v>
      </c>
      <c r="H12" s="1">
        <f t="shared" si="1"/>
        <v>7.1806732263076281E-2</v>
      </c>
      <c r="I12" s="1">
        <v>82</v>
      </c>
      <c r="J12" s="1">
        <v>0.81</v>
      </c>
      <c r="L12">
        <f t="shared" si="2"/>
        <v>-1.20226371613015E-3</v>
      </c>
      <c r="M12">
        <f t="shared" si="2"/>
        <v>-3.3851967421955401E-4</v>
      </c>
      <c r="N12">
        <f t="shared" si="2"/>
        <v>5.2522436769104203E-4</v>
      </c>
      <c r="O12">
        <f t="shared" si="2"/>
        <v>1.388968409601638E-3</v>
      </c>
      <c r="P12">
        <f t="shared" si="2"/>
        <v>2.2527124515122343E-3</v>
      </c>
      <c r="Q12">
        <f t="shared" si="2"/>
        <v>3.1164564934228296E-3</v>
      </c>
      <c r="R12">
        <f t="shared" si="2"/>
        <v>3.9802005353334257E-3</v>
      </c>
      <c r="S12">
        <f t="shared" si="2"/>
        <v>4.8439445772440227E-3</v>
      </c>
      <c r="T12">
        <f t="shared" si="2"/>
        <v>5.707688619154618E-3</v>
      </c>
      <c r="U12">
        <f t="shared" si="2"/>
        <v>6.5714326610652133E-3</v>
      </c>
      <c r="V12">
        <f t="shared" si="2"/>
        <v>1.7800105205902961E-2</v>
      </c>
    </row>
    <row r="13" spans="1:22" x14ac:dyDescent="0.25">
      <c r="A13" s="17" t="s">
        <v>16</v>
      </c>
      <c r="B13" s="16">
        <v>2.65</v>
      </c>
      <c r="C13" s="15">
        <v>9.34291322730018E-2</v>
      </c>
      <c r="D13" s="14">
        <f t="shared" si="0"/>
        <v>10.703299663299665</v>
      </c>
      <c r="E13" s="15">
        <v>1.1337326353935799E-3</v>
      </c>
      <c r="F13" s="14">
        <v>0.99955523194682505</v>
      </c>
      <c r="G13" s="13">
        <v>41</v>
      </c>
      <c r="H13" s="1">
        <f>(0.005-E13)/C13</f>
        <v>4.1381818181818381E-2</v>
      </c>
      <c r="I13" s="1">
        <v>82</v>
      </c>
      <c r="J13" s="1">
        <v>0.84</v>
      </c>
      <c r="L13">
        <f t="shared" si="2"/>
        <v>1.1337326353935799E-3</v>
      </c>
      <c r="M13">
        <f t="shared" si="2"/>
        <v>2.0680239581235978E-3</v>
      </c>
      <c r="N13">
        <f t="shared" si="2"/>
        <v>3.0023152808536157E-3</v>
      </c>
      <c r="O13">
        <f t="shared" si="2"/>
        <v>3.9366066035836332E-3</v>
      </c>
      <c r="P13">
        <f t="shared" si="2"/>
        <v>4.8708979263136516E-3</v>
      </c>
      <c r="Q13">
        <f t="shared" si="2"/>
        <v>5.8051892490436699E-3</v>
      </c>
      <c r="R13">
        <f t="shared" si="2"/>
        <v>6.7394805717736874E-3</v>
      </c>
      <c r="S13">
        <f t="shared" si="2"/>
        <v>7.6737718945037066E-3</v>
      </c>
      <c r="T13">
        <f t="shared" si="2"/>
        <v>8.6080632172337232E-3</v>
      </c>
      <c r="U13">
        <f t="shared" si="2"/>
        <v>9.5423545399637415E-3</v>
      </c>
      <c r="V13">
        <f t="shared" si="2"/>
        <v>2.1688141735453977E-2</v>
      </c>
    </row>
    <row r="14" spans="1:22" x14ac:dyDescent="0.25">
      <c r="A14" s="17" t="s">
        <v>17</v>
      </c>
      <c r="B14" s="16">
        <v>1.51</v>
      </c>
      <c r="C14" s="15">
        <v>6.7209580838323305E-2</v>
      </c>
      <c r="D14" s="14">
        <f t="shared" si="0"/>
        <v>14.878831076265158</v>
      </c>
      <c r="E14" s="15">
        <v>1.79640718562558E-6</v>
      </c>
      <c r="F14" s="14">
        <v>0.99955523194682505</v>
      </c>
      <c r="G14" s="13">
        <v>74</v>
      </c>
      <c r="H14" s="1">
        <f t="shared" si="1"/>
        <v>7.4367426942266668E-2</v>
      </c>
      <c r="I14" s="1">
        <v>72</v>
      </c>
      <c r="J14" s="1">
        <v>0.67</v>
      </c>
      <c r="L14">
        <f t="shared" si="2"/>
        <v>1.79640718562558E-6</v>
      </c>
      <c r="M14">
        <f t="shared" si="2"/>
        <v>6.738922155688586E-4</v>
      </c>
      <c r="N14">
        <f t="shared" si="2"/>
        <v>1.3459880239520916E-3</v>
      </c>
      <c r="O14">
        <f t="shared" si="2"/>
        <v>2.0180838323353247E-3</v>
      </c>
      <c r="P14">
        <f t="shared" si="2"/>
        <v>2.6901796407185576E-3</v>
      </c>
      <c r="Q14">
        <f t="shared" si="2"/>
        <v>3.362275449101791E-3</v>
      </c>
      <c r="R14">
        <f t="shared" si="2"/>
        <v>4.0343712574850239E-3</v>
      </c>
      <c r="S14">
        <f t="shared" si="2"/>
        <v>4.7064670658682577E-3</v>
      </c>
      <c r="T14">
        <f t="shared" si="2"/>
        <v>5.3785628742514897E-3</v>
      </c>
      <c r="U14">
        <f t="shared" si="2"/>
        <v>6.0506586826347226E-3</v>
      </c>
      <c r="V14">
        <f t="shared" si="2"/>
        <v>1.4787904191616753E-2</v>
      </c>
    </row>
    <row r="15" spans="1:22" x14ac:dyDescent="0.25">
      <c r="G15" s="12"/>
      <c r="H15" s="11"/>
    </row>
    <row r="17" spans="1:33" x14ac:dyDescent="0.25">
      <c r="H17" t="s">
        <v>165</v>
      </c>
    </row>
    <row r="19" spans="1:33" x14ac:dyDescent="0.25">
      <c r="A19" s="25" t="s">
        <v>33</v>
      </c>
      <c r="B19" s="25" t="s">
        <v>34</v>
      </c>
      <c r="C19" s="25" t="s">
        <v>35</v>
      </c>
      <c r="D19" s="25" t="s">
        <v>36</v>
      </c>
    </row>
    <row r="20" spans="1:33" x14ac:dyDescent="0.25">
      <c r="A20" t="s">
        <v>9</v>
      </c>
      <c r="B20">
        <v>5.7197604790419097E-2</v>
      </c>
      <c r="C20">
        <v>1.2455089820359E-4</v>
      </c>
      <c r="D20">
        <v>0.99011163476804198</v>
      </c>
      <c r="E20" t="s">
        <v>37</v>
      </c>
      <c r="F20" t="s">
        <v>38</v>
      </c>
      <c r="G20" t="s">
        <v>39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 t="s">
        <v>46</v>
      </c>
      <c r="O20" t="s">
        <v>47</v>
      </c>
      <c r="P20" t="s">
        <v>48</v>
      </c>
      <c r="Q20" t="s">
        <v>49</v>
      </c>
      <c r="R20" t="s">
        <v>50</v>
      </c>
      <c r="S20" t="s">
        <v>51</v>
      </c>
      <c r="T20" t="s">
        <v>52</v>
      </c>
      <c r="U20" t="s">
        <v>53</v>
      </c>
      <c r="V20" t="s">
        <v>54</v>
      </c>
      <c r="W20" t="s">
        <v>55</v>
      </c>
      <c r="X20" t="s">
        <v>56</v>
      </c>
      <c r="Y20" t="s">
        <v>57</v>
      </c>
      <c r="Z20" t="s">
        <v>58</v>
      </c>
      <c r="AA20" t="s">
        <v>59</v>
      </c>
      <c r="AB20" t="s">
        <v>60</v>
      </c>
      <c r="AC20" t="s">
        <v>61</v>
      </c>
      <c r="AD20" t="s">
        <v>62</v>
      </c>
      <c r="AE20" t="s">
        <v>63</v>
      </c>
      <c r="AF20" t="s">
        <v>64</v>
      </c>
      <c r="AG20" t="s">
        <v>65</v>
      </c>
    </row>
    <row r="21" spans="1:33" x14ac:dyDescent="0.25">
      <c r="A21" t="s">
        <v>10</v>
      </c>
      <c r="B21">
        <v>5.33103015075376E-2</v>
      </c>
      <c r="C21">
        <v>2.5961055276382198E-4</v>
      </c>
      <c r="D21">
        <v>0.99324843891480497</v>
      </c>
      <c r="E21" t="s">
        <v>37</v>
      </c>
      <c r="F21" t="s">
        <v>66</v>
      </c>
      <c r="G21" t="s">
        <v>67</v>
      </c>
      <c r="H21" t="s">
        <v>40</v>
      </c>
      <c r="I21" t="s">
        <v>68</v>
      </c>
      <c r="J21" t="s">
        <v>69</v>
      </c>
      <c r="K21" t="s">
        <v>70</v>
      </c>
      <c r="L21" t="s">
        <v>44</v>
      </c>
      <c r="M21" t="s">
        <v>71</v>
      </c>
      <c r="N21" t="s">
        <v>72</v>
      </c>
      <c r="O21" t="s">
        <v>73</v>
      </c>
      <c r="P21" t="s">
        <v>74</v>
      </c>
      <c r="Q21" t="s">
        <v>75</v>
      </c>
      <c r="R21" t="s">
        <v>76</v>
      </c>
      <c r="S21" t="s">
        <v>77</v>
      </c>
      <c r="T21" t="s">
        <v>52</v>
      </c>
      <c r="U21" t="s">
        <v>78</v>
      </c>
      <c r="V21" t="s">
        <v>54</v>
      </c>
      <c r="W21" t="s">
        <v>79</v>
      </c>
      <c r="X21" t="s">
        <v>56</v>
      </c>
      <c r="Y21" t="s">
        <v>80</v>
      </c>
      <c r="Z21" t="s">
        <v>58</v>
      </c>
      <c r="AA21" t="s">
        <v>81</v>
      </c>
      <c r="AB21" t="s">
        <v>60</v>
      </c>
      <c r="AC21" t="s">
        <v>82</v>
      </c>
      <c r="AD21" t="s">
        <v>62</v>
      </c>
      <c r="AE21" t="s">
        <v>83</v>
      </c>
      <c r="AF21" t="s">
        <v>84</v>
      </c>
      <c r="AG21" t="s">
        <v>85</v>
      </c>
    </row>
    <row r="22" spans="1:33" x14ac:dyDescent="0.25">
      <c r="A22" t="s">
        <v>11</v>
      </c>
      <c r="B22">
        <v>0.06</v>
      </c>
      <c r="C22" s="26">
        <v>-1.0615577889444899E-5</v>
      </c>
      <c r="D22">
        <v>0.99293185126913597</v>
      </c>
      <c r="E22" t="s">
        <v>37</v>
      </c>
      <c r="F22" t="s">
        <v>66</v>
      </c>
      <c r="G22" t="s">
        <v>86</v>
      </c>
      <c r="H22" t="s">
        <v>40</v>
      </c>
      <c r="I22" t="s">
        <v>87</v>
      </c>
      <c r="J22" t="s">
        <v>69</v>
      </c>
      <c r="K22" t="s">
        <v>88</v>
      </c>
      <c r="L22" t="s">
        <v>44</v>
      </c>
      <c r="M22" t="s">
        <v>89</v>
      </c>
      <c r="N22" t="s">
        <v>72</v>
      </c>
      <c r="O22" t="s">
        <v>90</v>
      </c>
      <c r="P22" t="s">
        <v>74</v>
      </c>
      <c r="Q22" t="s">
        <v>91</v>
      </c>
      <c r="R22" t="s">
        <v>76</v>
      </c>
      <c r="S22" t="s">
        <v>92</v>
      </c>
      <c r="T22" t="s">
        <v>52</v>
      </c>
      <c r="U22" t="s">
        <v>93</v>
      </c>
      <c r="V22" t="s">
        <v>54</v>
      </c>
      <c r="W22" t="s">
        <v>94</v>
      </c>
      <c r="X22" t="s">
        <v>56</v>
      </c>
      <c r="Y22" t="s">
        <v>95</v>
      </c>
      <c r="Z22" t="s">
        <v>58</v>
      </c>
      <c r="AA22" t="s">
        <v>81</v>
      </c>
      <c r="AB22" t="s">
        <v>60</v>
      </c>
      <c r="AC22" t="s">
        <v>82</v>
      </c>
      <c r="AD22" t="s">
        <v>62</v>
      </c>
      <c r="AE22" t="s">
        <v>83</v>
      </c>
      <c r="AF22" t="s">
        <v>84</v>
      </c>
      <c r="AG22" t="s">
        <v>85</v>
      </c>
    </row>
    <row r="23" spans="1:33" x14ac:dyDescent="0.25">
      <c r="A23" t="s">
        <v>12</v>
      </c>
      <c r="B23">
        <v>7.0772455089820302E-2</v>
      </c>
      <c r="C23">
        <v>-2.4266467065868201E-4</v>
      </c>
      <c r="D23">
        <v>0.99104714449321596</v>
      </c>
      <c r="E23" t="s">
        <v>37</v>
      </c>
      <c r="F23" t="s">
        <v>38</v>
      </c>
      <c r="G23" t="s">
        <v>96</v>
      </c>
      <c r="H23" t="s">
        <v>40</v>
      </c>
      <c r="I23" t="s">
        <v>97</v>
      </c>
      <c r="J23" t="s">
        <v>42</v>
      </c>
      <c r="K23" t="s">
        <v>98</v>
      </c>
      <c r="L23" t="s">
        <v>44</v>
      </c>
      <c r="M23" t="s">
        <v>99</v>
      </c>
      <c r="N23" t="s">
        <v>46</v>
      </c>
      <c r="O23" t="s">
        <v>100</v>
      </c>
      <c r="P23" t="s">
        <v>48</v>
      </c>
      <c r="Q23" t="s">
        <v>101</v>
      </c>
      <c r="R23" t="s">
        <v>50</v>
      </c>
      <c r="S23" t="s">
        <v>102</v>
      </c>
      <c r="T23" t="s">
        <v>52</v>
      </c>
      <c r="U23" t="s">
        <v>103</v>
      </c>
      <c r="V23" t="s">
        <v>54</v>
      </c>
      <c r="W23" t="s">
        <v>104</v>
      </c>
      <c r="X23" t="s">
        <v>56</v>
      </c>
      <c r="Y23" t="s">
        <v>105</v>
      </c>
      <c r="Z23" t="s">
        <v>58</v>
      </c>
      <c r="AA23" t="s">
        <v>59</v>
      </c>
      <c r="AB23" t="s">
        <v>60</v>
      </c>
      <c r="AC23" t="s">
        <v>61</v>
      </c>
      <c r="AD23" t="s">
        <v>62</v>
      </c>
      <c r="AE23" t="s">
        <v>63</v>
      </c>
      <c r="AF23" t="s">
        <v>64</v>
      </c>
      <c r="AG23" t="s">
        <v>65</v>
      </c>
    </row>
    <row r="24" spans="1:33" x14ac:dyDescent="0.25">
      <c r="A24" t="s">
        <v>13</v>
      </c>
      <c r="B24">
        <v>7.30351305308716E-2</v>
      </c>
      <c r="C24">
        <v>-4.0552051199410702E-3</v>
      </c>
      <c r="D24">
        <v>0.99896314466237601</v>
      </c>
      <c r="E24" t="s">
        <v>37</v>
      </c>
      <c r="F24" t="s">
        <v>38</v>
      </c>
      <c r="G24" t="s">
        <v>106</v>
      </c>
      <c r="H24" t="s">
        <v>40</v>
      </c>
      <c r="I24" t="s">
        <v>107</v>
      </c>
      <c r="J24" t="s">
        <v>42</v>
      </c>
      <c r="K24" t="s">
        <v>108</v>
      </c>
      <c r="L24" t="s">
        <v>44</v>
      </c>
      <c r="M24" t="s">
        <v>109</v>
      </c>
      <c r="N24" t="s">
        <v>46</v>
      </c>
      <c r="O24" t="s">
        <v>110</v>
      </c>
      <c r="P24" t="s">
        <v>48</v>
      </c>
      <c r="Q24" t="s">
        <v>111</v>
      </c>
      <c r="R24" t="s">
        <v>50</v>
      </c>
      <c r="S24" t="s">
        <v>112</v>
      </c>
      <c r="T24" t="s">
        <v>52</v>
      </c>
      <c r="U24" t="s">
        <v>113</v>
      </c>
      <c r="V24" t="s">
        <v>54</v>
      </c>
      <c r="W24" t="s">
        <v>114</v>
      </c>
      <c r="X24" t="s">
        <v>56</v>
      </c>
      <c r="Y24" t="s">
        <v>115</v>
      </c>
      <c r="Z24" t="s">
        <v>58</v>
      </c>
      <c r="AA24" t="s">
        <v>59</v>
      </c>
      <c r="AB24" t="s">
        <v>60</v>
      </c>
      <c r="AC24" t="s">
        <v>61</v>
      </c>
      <c r="AD24" t="s">
        <v>62</v>
      </c>
      <c r="AE24" t="s">
        <v>63</v>
      </c>
      <c r="AF24" t="s">
        <v>64</v>
      </c>
      <c r="AG24" t="s">
        <v>65</v>
      </c>
    </row>
    <row r="25" spans="1:33" x14ac:dyDescent="0.25">
      <c r="C25" s="26"/>
      <c r="D25"/>
    </row>
    <row r="26" spans="1:33" x14ac:dyDescent="0.25">
      <c r="A26" t="s">
        <v>7</v>
      </c>
      <c r="B26">
        <v>7.5759450511982906E-2</v>
      </c>
      <c r="C26">
        <v>-1.19077963286809E-2</v>
      </c>
      <c r="D26">
        <v>0.99993401687732197</v>
      </c>
      <c r="E26" t="s">
        <v>37</v>
      </c>
      <c r="F26" t="s">
        <v>38</v>
      </c>
      <c r="G26" t="s">
        <v>116</v>
      </c>
      <c r="H26" t="s">
        <v>40</v>
      </c>
      <c r="I26" t="s">
        <v>117</v>
      </c>
      <c r="J26" t="s">
        <v>42</v>
      </c>
      <c r="K26" t="s">
        <v>118</v>
      </c>
      <c r="L26" t="s">
        <v>44</v>
      </c>
      <c r="M26" t="s">
        <v>119</v>
      </c>
      <c r="N26" t="s">
        <v>46</v>
      </c>
      <c r="O26" t="s">
        <v>120</v>
      </c>
      <c r="P26" t="s">
        <v>48</v>
      </c>
      <c r="Q26" t="s">
        <v>121</v>
      </c>
      <c r="R26" t="s">
        <v>50</v>
      </c>
      <c r="S26" t="s">
        <v>122</v>
      </c>
      <c r="T26" t="s">
        <v>52</v>
      </c>
      <c r="U26" t="s">
        <v>123</v>
      </c>
      <c r="V26" t="s">
        <v>54</v>
      </c>
      <c r="W26" t="s">
        <v>124</v>
      </c>
      <c r="X26" t="s">
        <v>56</v>
      </c>
      <c r="Y26" t="s">
        <v>125</v>
      </c>
      <c r="Z26" t="s">
        <v>58</v>
      </c>
      <c r="AA26" t="s">
        <v>59</v>
      </c>
      <c r="AB26" t="s">
        <v>60</v>
      </c>
      <c r="AC26" t="s">
        <v>61</v>
      </c>
      <c r="AD26" t="s">
        <v>62</v>
      </c>
      <c r="AE26" t="s">
        <v>63</v>
      </c>
      <c r="AF26" t="s">
        <v>64</v>
      </c>
      <c r="AG26" t="s">
        <v>65</v>
      </c>
    </row>
    <row r="27" spans="1:33" x14ac:dyDescent="0.25">
      <c r="A27" t="s">
        <v>8</v>
      </c>
      <c r="B27">
        <v>8.3853604211663005E-2</v>
      </c>
      <c r="C27">
        <v>-1.3988002834773101E-2</v>
      </c>
      <c r="D27">
        <v>0.998108948814035</v>
      </c>
      <c r="E27" t="s">
        <v>37</v>
      </c>
      <c r="F27" t="s">
        <v>38</v>
      </c>
      <c r="G27" t="s">
        <v>126</v>
      </c>
      <c r="H27" t="s">
        <v>40</v>
      </c>
      <c r="I27" t="s">
        <v>117</v>
      </c>
      <c r="J27" t="s">
        <v>42</v>
      </c>
      <c r="K27" t="s">
        <v>127</v>
      </c>
      <c r="L27" t="s">
        <v>44</v>
      </c>
      <c r="M27" t="s">
        <v>128</v>
      </c>
      <c r="N27" t="s">
        <v>46</v>
      </c>
      <c r="O27" t="s">
        <v>129</v>
      </c>
      <c r="P27" t="s">
        <v>48</v>
      </c>
      <c r="Q27" t="s">
        <v>130</v>
      </c>
      <c r="R27" t="s">
        <v>50</v>
      </c>
      <c r="S27" t="s">
        <v>131</v>
      </c>
      <c r="T27" t="s">
        <v>52</v>
      </c>
      <c r="U27" t="s">
        <v>132</v>
      </c>
      <c r="V27" t="s">
        <v>54</v>
      </c>
      <c r="W27" t="s">
        <v>133</v>
      </c>
      <c r="X27" t="s">
        <v>56</v>
      </c>
      <c r="Y27" t="s">
        <v>134</v>
      </c>
      <c r="Z27" t="s">
        <v>58</v>
      </c>
      <c r="AA27" t="s">
        <v>59</v>
      </c>
      <c r="AB27" t="s">
        <v>60</v>
      </c>
      <c r="AC27" t="s">
        <v>61</v>
      </c>
      <c r="AD27" t="s">
        <v>62</v>
      </c>
      <c r="AE27" t="s">
        <v>63</v>
      </c>
      <c r="AF27" t="s">
        <v>64</v>
      </c>
      <c r="AG27" t="s">
        <v>65</v>
      </c>
    </row>
    <row r="28" spans="1:33" x14ac:dyDescent="0.25">
      <c r="A28" t="s">
        <v>14</v>
      </c>
      <c r="B28">
        <v>6.7209580838323305E-2</v>
      </c>
      <c r="C28" s="26">
        <v>1.79640718562558E-6</v>
      </c>
      <c r="D28">
        <v>0.99955523194682505</v>
      </c>
      <c r="E28" t="s">
        <v>37</v>
      </c>
      <c r="F28" t="s">
        <v>38</v>
      </c>
      <c r="G28" t="s">
        <v>135</v>
      </c>
      <c r="H28" t="s">
        <v>40</v>
      </c>
      <c r="I28" t="s">
        <v>87</v>
      </c>
      <c r="J28" t="s">
        <v>42</v>
      </c>
      <c r="K28" t="s">
        <v>136</v>
      </c>
      <c r="L28" t="s">
        <v>44</v>
      </c>
      <c r="M28" t="s">
        <v>137</v>
      </c>
      <c r="N28" t="s">
        <v>46</v>
      </c>
      <c r="O28" t="s">
        <v>138</v>
      </c>
      <c r="P28" t="s">
        <v>48</v>
      </c>
      <c r="Q28" t="s">
        <v>139</v>
      </c>
      <c r="R28" t="s">
        <v>50</v>
      </c>
      <c r="S28" t="s">
        <v>140</v>
      </c>
      <c r="T28" t="s">
        <v>52</v>
      </c>
      <c r="U28" t="s">
        <v>141</v>
      </c>
      <c r="V28" t="s">
        <v>54</v>
      </c>
      <c r="W28" t="s">
        <v>142</v>
      </c>
      <c r="X28" t="s">
        <v>56</v>
      </c>
      <c r="Y28" t="s">
        <v>143</v>
      </c>
      <c r="Z28" t="s">
        <v>58</v>
      </c>
      <c r="AA28" t="s">
        <v>59</v>
      </c>
      <c r="AB28" t="s">
        <v>60</v>
      </c>
      <c r="AC28" t="s">
        <v>61</v>
      </c>
      <c r="AD28" t="s">
        <v>62</v>
      </c>
      <c r="AE28" t="s">
        <v>63</v>
      </c>
      <c r="AF28" t="s">
        <v>64</v>
      </c>
      <c r="AG28" t="s">
        <v>65</v>
      </c>
    </row>
    <row r="29" spans="1:33" x14ac:dyDescent="0.25">
      <c r="A29" t="s">
        <v>15</v>
      </c>
      <c r="B29">
        <v>8.6374404191059601E-2</v>
      </c>
      <c r="C29">
        <v>-1.20226371613015E-3</v>
      </c>
      <c r="D29">
        <v>0.99873637420919803</v>
      </c>
      <c r="E29" t="s">
        <v>37</v>
      </c>
      <c r="F29" t="s">
        <v>38</v>
      </c>
      <c r="G29" t="s">
        <v>144</v>
      </c>
      <c r="H29" t="s">
        <v>40</v>
      </c>
      <c r="I29" t="s">
        <v>145</v>
      </c>
      <c r="J29" t="s">
        <v>42</v>
      </c>
      <c r="K29" t="s">
        <v>146</v>
      </c>
      <c r="L29" t="s">
        <v>44</v>
      </c>
      <c r="M29" t="s">
        <v>147</v>
      </c>
      <c r="N29" t="s">
        <v>46</v>
      </c>
      <c r="O29" t="s">
        <v>148</v>
      </c>
      <c r="P29" t="s">
        <v>48</v>
      </c>
      <c r="Q29" t="s">
        <v>149</v>
      </c>
      <c r="R29" t="s">
        <v>50</v>
      </c>
      <c r="S29" t="s">
        <v>150</v>
      </c>
      <c r="T29" t="s">
        <v>52</v>
      </c>
      <c r="U29" t="s">
        <v>151</v>
      </c>
      <c r="V29" t="s">
        <v>54</v>
      </c>
      <c r="W29" t="s">
        <v>152</v>
      </c>
      <c r="X29" t="s">
        <v>56</v>
      </c>
      <c r="Y29" t="s">
        <v>153</v>
      </c>
      <c r="Z29" t="s">
        <v>58</v>
      </c>
      <c r="AA29" t="s">
        <v>59</v>
      </c>
      <c r="AB29" t="s">
        <v>60</v>
      </c>
      <c r="AC29" t="s">
        <v>61</v>
      </c>
      <c r="AD29" t="s">
        <v>62</v>
      </c>
      <c r="AE29" t="s">
        <v>63</v>
      </c>
      <c r="AF29" t="s">
        <v>64</v>
      </c>
      <c r="AG29" t="s">
        <v>65</v>
      </c>
    </row>
    <row r="30" spans="1:33" x14ac:dyDescent="0.25">
      <c r="A30" t="s">
        <v>16</v>
      </c>
      <c r="B30">
        <v>9.34291322730018E-2</v>
      </c>
      <c r="C30">
        <v>1.1337326353935799E-3</v>
      </c>
      <c r="D30">
        <v>0.99955523194682505</v>
      </c>
      <c r="E30" t="s">
        <v>37</v>
      </c>
      <c r="F30" t="s">
        <v>38</v>
      </c>
      <c r="G30" t="s">
        <v>154</v>
      </c>
      <c r="H30" t="s">
        <v>40</v>
      </c>
      <c r="I30" t="s">
        <v>155</v>
      </c>
      <c r="J30" t="s">
        <v>42</v>
      </c>
      <c r="K30" t="s">
        <v>156</v>
      </c>
      <c r="L30" t="s">
        <v>44</v>
      </c>
      <c r="M30" t="s">
        <v>157</v>
      </c>
      <c r="N30" t="s">
        <v>46</v>
      </c>
      <c r="O30" t="s">
        <v>158</v>
      </c>
      <c r="P30" t="s">
        <v>48</v>
      </c>
      <c r="Q30" t="s">
        <v>159</v>
      </c>
      <c r="R30" t="s">
        <v>50</v>
      </c>
      <c r="S30" t="s">
        <v>160</v>
      </c>
      <c r="T30" t="s">
        <v>52</v>
      </c>
      <c r="U30" t="s">
        <v>161</v>
      </c>
      <c r="V30" t="s">
        <v>54</v>
      </c>
      <c r="W30" t="s">
        <v>162</v>
      </c>
      <c r="X30" t="s">
        <v>56</v>
      </c>
      <c r="Y30" t="s">
        <v>143</v>
      </c>
      <c r="Z30" t="s">
        <v>58</v>
      </c>
      <c r="AA30" t="s">
        <v>59</v>
      </c>
      <c r="AB30" t="s">
        <v>60</v>
      </c>
      <c r="AC30" t="s">
        <v>61</v>
      </c>
      <c r="AD30" t="s">
        <v>62</v>
      </c>
      <c r="AE30" t="s">
        <v>63</v>
      </c>
      <c r="AF30" t="s">
        <v>64</v>
      </c>
      <c r="AG30" t="s">
        <v>65</v>
      </c>
    </row>
    <row r="31" spans="1:33" x14ac:dyDescent="0.25">
      <c r="A31" t="s">
        <v>17</v>
      </c>
      <c r="B31">
        <v>6.7209580838323305E-2</v>
      </c>
      <c r="C31" s="26">
        <v>1.79640718562558E-6</v>
      </c>
      <c r="D31">
        <v>0.99955523194682505</v>
      </c>
      <c r="E31" t="s">
        <v>37</v>
      </c>
      <c r="F31" t="s">
        <v>38</v>
      </c>
      <c r="G31" t="s">
        <v>135</v>
      </c>
      <c r="H31" t="s">
        <v>40</v>
      </c>
      <c r="I31" t="s">
        <v>87</v>
      </c>
      <c r="J31" t="s">
        <v>42</v>
      </c>
      <c r="K31" t="s">
        <v>136</v>
      </c>
      <c r="L31" t="s">
        <v>44</v>
      </c>
      <c r="M31" t="s">
        <v>137</v>
      </c>
      <c r="N31" t="s">
        <v>46</v>
      </c>
      <c r="O31" t="s">
        <v>138</v>
      </c>
      <c r="P31" t="s">
        <v>48</v>
      </c>
      <c r="Q31" t="s">
        <v>139</v>
      </c>
      <c r="R31" t="s">
        <v>50</v>
      </c>
      <c r="S31" t="s">
        <v>140</v>
      </c>
      <c r="T31" t="s">
        <v>52</v>
      </c>
      <c r="U31" t="s">
        <v>141</v>
      </c>
      <c r="V31" t="s">
        <v>54</v>
      </c>
      <c r="W31" t="s">
        <v>142</v>
      </c>
      <c r="X31" t="s">
        <v>56</v>
      </c>
      <c r="Y31" t="s">
        <v>143</v>
      </c>
      <c r="Z31" t="s">
        <v>58</v>
      </c>
      <c r="AA31" t="s">
        <v>59</v>
      </c>
      <c r="AB31" t="s">
        <v>60</v>
      </c>
      <c r="AC31" t="s">
        <v>61</v>
      </c>
      <c r="AD31" t="s">
        <v>62</v>
      </c>
      <c r="AE31" t="s">
        <v>63</v>
      </c>
      <c r="AF31" t="s">
        <v>64</v>
      </c>
      <c r="AG31" t="s">
        <v>65</v>
      </c>
    </row>
    <row r="32" spans="1:33" x14ac:dyDescent="0.25">
      <c r="A32" t="s">
        <v>18</v>
      </c>
      <c r="B32">
        <v>7.0772455089820302E-2</v>
      </c>
      <c r="C32">
        <v>-2.4266467065868201E-4</v>
      </c>
      <c r="D32">
        <v>0.99104714449321596</v>
      </c>
      <c r="E32" t="s">
        <v>37</v>
      </c>
      <c r="F32" t="s">
        <v>38</v>
      </c>
      <c r="G32" t="s">
        <v>96</v>
      </c>
      <c r="H32" t="s">
        <v>40</v>
      </c>
      <c r="I32" t="s">
        <v>97</v>
      </c>
      <c r="J32" t="s">
        <v>42</v>
      </c>
      <c r="K32" t="s">
        <v>98</v>
      </c>
      <c r="L32" t="s">
        <v>44</v>
      </c>
      <c r="M32" t="s">
        <v>99</v>
      </c>
      <c r="N32" t="s">
        <v>46</v>
      </c>
      <c r="O32" t="s">
        <v>100</v>
      </c>
      <c r="P32" t="s">
        <v>48</v>
      </c>
      <c r="Q32" t="s">
        <v>101</v>
      </c>
      <c r="R32" t="s">
        <v>50</v>
      </c>
      <c r="S32" t="s">
        <v>102</v>
      </c>
      <c r="T32" t="s">
        <v>52</v>
      </c>
      <c r="U32" t="s">
        <v>103</v>
      </c>
      <c r="V32" t="s">
        <v>54</v>
      </c>
      <c r="W32" t="s">
        <v>104</v>
      </c>
      <c r="X32" t="s">
        <v>56</v>
      </c>
      <c r="Y32" t="s">
        <v>105</v>
      </c>
      <c r="Z32" t="s">
        <v>58</v>
      </c>
      <c r="AA32" t="s">
        <v>59</v>
      </c>
      <c r="AB32" t="s">
        <v>60</v>
      </c>
      <c r="AC32" t="s">
        <v>61</v>
      </c>
      <c r="AD32" t="s">
        <v>62</v>
      </c>
      <c r="AE32" t="s">
        <v>63</v>
      </c>
      <c r="AF32" t="s">
        <v>64</v>
      </c>
      <c r="AG32" t="s">
        <v>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Alvarez</dc:creator>
  <cp:lastModifiedBy>Daniel Alvarez</cp:lastModifiedBy>
  <dcterms:created xsi:type="dcterms:W3CDTF">2015-06-05T18:17:20Z</dcterms:created>
  <dcterms:modified xsi:type="dcterms:W3CDTF">2026-02-23T16:58:39Z</dcterms:modified>
</cp:coreProperties>
</file>