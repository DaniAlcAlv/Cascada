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git\Water-cal-analysis\"/>
    </mc:Choice>
  </mc:AlternateContent>
  <xr:revisionPtr revIDLastSave="0" documentId="13_ncr:1_{5DE82A04-C4CC-44C4-A814-BE1D373D92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K12" i="1"/>
  <c r="L12" i="1"/>
  <c r="M12" i="1"/>
  <c r="I12" i="1"/>
  <c r="I10" i="1"/>
  <c r="K11" i="1" s="1"/>
  <c r="J11" i="1"/>
  <c r="J10" i="1"/>
  <c r="K10" i="1"/>
  <c r="L10" i="1"/>
  <c r="L11" i="1" s="1"/>
  <c r="M10" i="1"/>
  <c r="M11" i="1" s="1"/>
  <c r="K3" i="1"/>
  <c r="K4" i="1"/>
  <c r="K5" i="1"/>
  <c r="K6" i="1"/>
  <c r="K7" i="1"/>
  <c r="K8" i="1"/>
  <c r="K9" i="1"/>
  <c r="J4" i="1"/>
  <c r="J5" i="1"/>
  <c r="J6" i="1"/>
  <c r="J7" i="1"/>
  <c r="J8" i="1"/>
  <c r="J9" i="1"/>
  <c r="J3" i="1"/>
</calcChain>
</file>

<file path=xl/sharedStrings.xml><?xml version="1.0" encoding="utf-8"?>
<sst xmlns="http://schemas.openxmlformats.org/spreadsheetml/2006/main" count="14" uniqueCount="14">
  <si>
    <t>            "0.0250": 0.30000000000000071,</t>
  </si>
  <si>
    <t>            "0.0500": 0.58000000000000007,</t>
  </si>
  <si>
    <t>            "0.0750": 0.82000000000000028,</t>
  </si>
  <si>
    <t>            "0.1000": 1.0299999999999994,</t>
  </si>
  <si>
    <t>            "0.1250": 1.1600000000000001,</t>
  </si>
  <si>
    <t>            "0.1750": 1.1599999999999984,</t>
  </si>
  <si>
    <t>            "0.2250": 2.120000000000001</t>
  </si>
  <si>
    <t>Original</t>
  </si>
  <si>
    <t>SLOPE</t>
  </si>
  <si>
    <t>SLOPE DIFF</t>
  </si>
  <si>
    <t>-</t>
  </si>
  <si>
    <t>Mod1</t>
  </si>
  <si>
    <t>Mod2</t>
  </si>
  <si>
    <t>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</si>
</sst>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9" fontId="0" fillId="0" borderId="1" xfId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Sheet1!$H$3:$H$9</c:f>
              <c:numCache>
                <c:formatCode>General</c:formatCode>
                <c:ptCount val="7"/>
                <c:pt idx="0">
                  <c:v>2.5000000000000001E-2</c:v>
                </c:pt>
                <c:pt idx="1">
                  <c:v>0.05</c:v>
                </c:pt>
                <c:pt idx="2">
                  <c:v>7.4999999999999997E-2</c:v>
                </c:pt>
                <c:pt idx="3">
                  <c:v>0.1</c:v>
                </c:pt>
                <c:pt idx="4">
                  <c:v>0.125</c:v>
                </c:pt>
                <c:pt idx="5">
                  <c:v>0.17499999999999999</c:v>
                </c:pt>
                <c:pt idx="6">
                  <c:v>0.22500000000000001</c:v>
                </c:pt>
              </c:numCache>
            </c:numRef>
          </c:xVal>
          <c:yVal>
            <c:numRef>
              <c:f>Sheet1!$I$3:$I$9</c:f>
              <c:numCache>
                <c:formatCode>General</c:formatCode>
                <c:ptCount val="7"/>
                <c:pt idx="0">
                  <c:v>0.3</c:v>
                </c:pt>
                <c:pt idx="1">
                  <c:v>0.57999999999999996</c:v>
                </c:pt>
                <c:pt idx="2">
                  <c:v>0.82</c:v>
                </c:pt>
                <c:pt idx="3">
                  <c:v>1.03</c:v>
                </c:pt>
                <c:pt idx="4">
                  <c:v>1.26</c:v>
                </c:pt>
                <c:pt idx="5">
                  <c:v>1.7</c:v>
                </c:pt>
                <c:pt idx="6">
                  <c:v>2.12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A8-480A-93DE-859B9D468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455967"/>
        <c:axId val="829431007"/>
      </c:scatterChart>
      <c:valAx>
        <c:axId val="8294559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431007"/>
        <c:crosses val="autoZero"/>
        <c:crossBetween val="midCat"/>
      </c:valAx>
      <c:valAx>
        <c:axId val="82943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455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Sheet1!$H$3:$H$9</c:f>
              <c:numCache>
                <c:formatCode>General</c:formatCode>
                <c:ptCount val="7"/>
                <c:pt idx="0">
                  <c:v>2.5000000000000001E-2</c:v>
                </c:pt>
                <c:pt idx="1">
                  <c:v>0.05</c:v>
                </c:pt>
                <c:pt idx="2">
                  <c:v>7.4999999999999997E-2</c:v>
                </c:pt>
                <c:pt idx="3">
                  <c:v>0.1</c:v>
                </c:pt>
                <c:pt idx="4">
                  <c:v>0.125</c:v>
                </c:pt>
                <c:pt idx="5">
                  <c:v>0.17499999999999999</c:v>
                </c:pt>
                <c:pt idx="6">
                  <c:v>0.22500000000000001</c:v>
                </c:pt>
              </c:numCache>
            </c:numRef>
          </c:xVal>
          <c:yVal>
            <c:numRef>
              <c:f>Sheet1!$J$3:$J$9</c:f>
              <c:numCache>
                <c:formatCode>General</c:formatCode>
                <c:ptCount val="7"/>
                <c:pt idx="0">
                  <c:v>0.375</c:v>
                </c:pt>
                <c:pt idx="1">
                  <c:v>0.72499999999999998</c:v>
                </c:pt>
                <c:pt idx="2">
                  <c:v>1.0249999999999999</c:v>
                </c:pt>
                <c:pt idx="3">
                  <c:v>1.2875000000000001</c:v>
                </c:pt>
                <c:pt idx="4">
                  <c:v>1.575</c:v>
                </c:pt>
                <c:pt idx="5">
                  <c:v>2.125</c:v>
                </c:pt>
                <c:pt idx="6">
                  <c:v>2.6500000000000004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54-4428-BB03-E9173F995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455967"/>
        <c:axId val="829431007"/>
      </c:scatterChart>
      <c:valAx>
        <c:axId val="8294559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431007"/>
        <c:crosses val="autoZero"/>
        <c:crossBetween val="midCat"/>
      </c:valAx>
      <c:valAx>
        <c:axId val="82943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455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Sheet1!$H$3:$H$9</c:f>
              <c:numCache>
                <c:formatCode>General</c:formatCode>
                <c:ptCount val="7"/>
                <c:pt idx="0">
                  <c:v>2.5000000000000001E-2</c:v>
                </c:pt>
                <c:pt idx="1">
                  <c:v>0.05</c:v>
                </c:pt>
                <c:pt idx="2">
                  <c:v>7.4999999999999997E-2</c:v>
                </c:pt>
                <c:pt idx="3">
                  <c:v>0.1</c:v>
                </c:pt>
                <c:pt idx="4">
                  <c:v>0.125</c:v>
                </c:pt>
                <c:pt idx="5">
                  <c:v>0.17499999999999999</c:v>
                </c:pt>
                <c:pt idx="6">
                  <c:v>0.22500000000000001</c:v>
                </c:pt>
              </c:numCache>
            </c:numRef>
          </c:xVal>
          <c:yVal>
            <c:numRef>
              <c:f>Sheet1!$K$3:$K$9</c:f>
              <c:numCache>
                <c:formatCode>General</c:formatCode>
                <c:ptCount val="7"/>
                <c:pt idx="0">
                  <c:v>0.44999999999999996</c:v>
                </c:pt>
                <c:pt idx="1">
                  <c:v>0.86999999999999988</c:v>
                </c:pt>
                <c:pt idx="2">
                  <c:v>1.23</c:v>
                </c:pt>
                <c:pt idx="3">
                  <c:v>1.5449999999999999</c:v>
                </c:pt>
                <c:pt idx="4">
                  <c:v>1.8900000000000001</c:v>
                </c:pt>
                <c:pt idx="5">
                  <c:v>2.5499999999999998</c:v>
                </c:pt>
                <c:pt idx="6">
                  <c:v>3.18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E2-460C-879C-7E69DFF02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455967"/>
        <c:axId val="829431007"/>
      </c:scatterChart>
      <c:valAx>
        <c:axId val="8294559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431007"/>
        <c:crosses val="autoZero"/>
        <c:crossBetween val="midCat"/>
      </c:valAx>
      <c:valAx>
        <c:axId val="82943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455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Sheet1!$H$3:$H$9</c:f>
              <c:numCache>
                <c:formatCode>General</c:formatCode>
                <c:ptCount val="7"/>
                <c:pt idx="0">
                  <c:v>2.5000000000000001E-2</c:v>
                </c:pt>
                <c:pt idx="1">
                  <c:v>0.05</c:v>
                </c:pt>
                <c:pt idx="2">
                  <c:v>7.4999999999999997E-2</c:v>
                </c:pt>
                <c:pt idx="3">
                  <c:v>0.1</c:v>
                </c:pt>
                <c:pt idx="4">
                  <c:v>0.125</c:v>
                </c:pt>
                <c:pt idx="5">
                  <c:v>0.17499999999999999</c:v>
                </c:pt>
                <c:pt idx="6">
                  <c:v>0.22500000000000001</c:v>
                </c:pt>
              </c:numCache>
            </c:numRef>
          </c:xVal>
          <c:yVal>
            <c:numRef>
              <c:f>Sheet1!$L$3:$L$9</c:f>
              <c:numCache>
                <c:formatCode>General</c:formatCode>
                <c:ptCount val="7"/>
                <c:pt idx="0">
                  <c:v>0.3</c:v>
                </c:pt>
                <c:pt idx="1">
                  <c:v>0.57999999999999996</c:v>
                </c:pt>
                <c:pt idx="2">
                  <c:v>0.82</c:v>
                </c:pt>
                <c:pt idx="3">
                  <c:v>1.03</c:v>
                </c:pt>
                <c:pt idx="4">
                  <c:v>1.26</c:v>
                </c:pt>
                <c:pt idx="5">
                  <c:v>1.7</c:v>
                </c:pt>
                <c:pt idx="6">
                  <c:v>3.18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E9-45FF-A710-A0C344E5C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455967"/>
        <c:axId val="829431007"/>
      </c:scatterChart>
      <c:valAx>
        <c:axId val="8294559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431007"/>
        <c:crosses val="autoZero"/>
        <c:crossBetween val="midCat"/>
      </c:valAx>
      <c:valAx>
        <c:axId val="82943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455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Sheet1!$H$3:$H$9</c:f>
              <c:numCache>
                <c:formatCode>General</c:formatCode>
                <c:ptCount val="7"/>
                <c:pt idx="0">
                  <c:v>2.5000000000000001E-2</c:v>
                </c:pt>
                <c:pt idx="1">
                  <c:v>0.05</c:v>
                </c:pt>
                <c:pt idx="2">
                  <c:v>7.4999999999999997E-2</c:v>
                </c:pt>
                <c:pt idx="3">
                  <c:v>0.1</c:v>
                </c:pt>
                <c:pt idx="4">
                  <c:v>0.125</c:v>
                </c:pt>
                <c:pt idx="5">
                  <c:v>0.17499999999999999</c:v>
                </c:pt>
                <c:pt idx="6">
                  <c:v>0.22500000000000001</c:v>
                </c:pt>
              </c:numCache>
            </c:numRef>
          </c:xVal>
          <c:yVal>
            <c:numRef>
              <c:f>Sheet1!$M$3:$M$9</c:f>
              <c:numCache>
                <c:formatCode>General</c:formatCode>
                <c:ptCount val="7"/>
                <c:pt idx="0">
                  <c:v>0.3</c:v>
                </c:pt>
                <c:pt idx="1">
                  <c:v>0.57999999999999996</c:v>
                </c:pt>
                <c:pt idx="2">
                  <c:v>0.82</c:v>
                </c:pt>
                <c:pt idx="3">
                  <c:v>1.03</c:v>
                </c:pt>
                <c:pt idx="4">
                  <c:v>1.26</c:v>
                </c:pt>
                <c:pt idx="5">
                  <c:v>2.5499999999999998</c:v>
                </c:pt>
                <c:pt idx="6">
                  <c:v>2.12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DF-4C80-8E5D-2E809006A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455967"/>
        <c:axId val="829431007"/>
      </c:scatterChart>
      <c:valAx>
        <c:axId val="8294559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431007"/>
        <c:crosses val="autoZero"/>
        <c:crossBetween val="midCat"/>
      </c:valAx>
      <c:valAx>
        <c:axId val="82943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455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Sheet1!$I$2</c:f>
              <c:strCache>
                <c:ptCount val="1"/>
                <c:pt idx="0">
                  <c:v>Original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Sheet1!$H$3:$H$9</c:f>
              <c:numCache>
                <c:formatCode>General</c:formatCode>
                <c:ptCount val="7"/>
                <c:pt idx="0">
                  <c:v>2.5000000000000001E-2</c:v>
                </c:pt>
                <c:pt idx="1">
                  <c:v>0.05</c:v>
                </c:pt>
                <c:pt idx="2">
                  <c:v>7.4999999999999997E-2</c:v>
                </c:pt>
                <c:pt idx="3">
                  <c:v>0.1</c:v>
                </c:pt>
                <c:pt idx="4">
                  <c:v>0.125</c:v>
                </c:pt>
                <c:pt idx="5">
                  <c:v>0.17499999999999999</c:v>
                </c:pt>
                <c:pt idx="6">
                  <c:v>0.22500000000000001</c:v>
                </c:pt>
              </c:numCache>
            </c:numRef>
          </c:cat>
          <c:val>
            <c:numRef>
              <c:f>Sheet1!$I$3:$I$9</c:f>
              <c:numCache>
                <c:formatCode>General</c:formatCode>
                <c:ptCount val="7"/>
                <c:pt idx="0">
                  <c:v>0.3</c:v>
                </c:pt>
                <c:pt idx="1">
                  <c:v>0.57999999999999996</c:v>
                </c:pt>
                <c:pt idx="2">
                  <c:v>0.82</c:v>
                </c:pt>
                <c:pt idx="3">
                  <c:v>1.03</c:v>
                </c:pt>
                <c:pt idx="4">
                  <c:v>1.26</c:v>
                </c:pt>
                <c:pt idx="5">
                  <c:v>1.7</c:v>
                </c:pt>
                <c:pt idx="6">
                  <c:v>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83-4964-87C0-53D165BC1A80}"/>
            </c:ext>
          </c:extLst>
        </c:ser>
        <c:ser>
          <c:idx val="1"/>
          <c:order val="1"/>
          <c:tx>
            <c:strRef>
              <c:f>Sheet1!$J$2</c:f>
              <c:strCache>
                <c:ptCount val="1"/>
                <c:pt idx="0">
                  <c:v>25%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Sheet1!$H$3:$H$9</c:f>
              <c:numCache>
                <c:formatCode>General</c:formatCode>
                <c:ptCount val="7"/>
                <c:pt idx="0">
                  <c:v>2.5000000000000001E-2</c:v>
                </c:pt>
                <c:pt idx="1">
                  <c:v>0.05</c:v>
                </c:pt>
                <c:pt idx="2">
                  <c:v>7.4999999999999997E-2</c:v>
                </c:pt>
                <c:pt idx="3">
                  <c:v>0.1</c:v>
                </c:pt>
                <c:pt idx="4">
                  <c:v>0.125</c:v>
                </c:pt>
                <c:pt idx="5">
                  <c:v>0.17499999999999999</c:v>
                </c:pt>
                <c:pt idx="6">
                  <c:v>0.22500000000000001</c:v>
                </c:pt>
              </c:numCache>
            </c:numRef>
          </c:cat>
          <c:val>
            <c:numRef>
              <c:f>Sheet1!$J$3:$J$9</c:f>
              <c:numCache>
                <c:formatCode>General</c:formatCode>
                <c:ptCount val="7"/>
                <c:pt idx="0">
                  <c:v>0.375</c:v>
                </c:pt>
                <c:pt idx="1">
                  <c:v>0.72499999999999998</c:v>
                </c:pt>
                <c:pt idx="2">
                  <c:v>1.0249999999999999</c:v>
                </c:pt>
                <c:pt idx="3">
                  <c:v>1.2875000000000001</c:v>
                </c:pt>
                <c:pt idx="4">
                  <c:v>1.575</c:v>
                </c:pt>
                <c:pt idx="5">
                  <c:v>2.125</c:v>
                </c:pt>
                <c:pt idx="6">
                  <c:v>2.6500000000000004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83-4964-87C0-53D165BC1A80}"/>
            </c:ext>
          </c:extLst>
        </c:ser>
        <c:ser>
          <c:idx val="2"/>
          <c:order val="2"/>
          <c:tx>
            <c:strRef>
              <c:f>Sheet1!$K$2</c:f>
              <c:strCache>
                <c:ptCount val="1"/>
                <c:pt idx="0">
                  <c:v>50%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Sheet1!$H$3:$H$9</c:f>
              <c:numCache>
                <c:formatCode>General</c:formatCode>
                <c:ptCount val="7"/>
                <c:pt idx="0">
                  <c:v>2.5000000000000001E-2</c:v>
                </c:pt>
                <c:pt idx="1">
                  <c:v>0.05</c:v>
                </c:pt>
                <c:pt idx="2">
                  <c:v>7.4999999999999997E-2</c:v>
                </c:pt>
                <c:pt idx="3">
                  <c:v>0.1</c:v>
                </c:pt>
                <c:pt idx="4">
                  <c:v>0.125</c:v>
                </c:pt>
                <c:pt idx="5">
                  <c:v>0.17499999999999999</c:v>
                </c:pt>
                <c:pt idx="6">
                  <c:v>0.22500000000000001</c:v>
                </c:pt>
              </c:numCache>
            </c:numRef>
          </c:cat>
          <c:val>
            <c:numRef>
              <c:f>Sheet1!$K$3:$K$9</c:f>
              <c:numCache>
                <c:formatCode>General</c:formatCode>
                <c:ptCount val="7"/>
                <c:pt idx="0">
                  <c:v>0.44999999999999996</c:v>
                </c:pt>
                <c:pt idx="1">
                  <c:v>0.86999999999999988</c:v>
                </c:pt>
                <c:pt idx="2">
                  <c:v>1.23</c:v>
                </c:pt>
                <c:pt idx="3">
                  <c:v>1.5449999999999999</c:v>
                </c:pt>
                <c:pt idx="4">
                  <c:v>1.8900000000000001</c:v>
                </c:pt>
                <c:pt idx="5">
                  <c:v>2.5499999999999998</c:v>
                </c:pt>
                <c:pt idx="6">
                  <c:v>3.18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83-4964-87C0-53D165BC1A80}"/>
            </c:ext>
          </c:extLst>
        </c:ser>
        <c:ser>
          <c:idx val="3"/>
          <c:order val="3"/>
          <c:tx>
            <c:strRef>
              <c:f>Sheet1!$L$2</c:f>
              <c:strCache>
                <c:ptCount val="1"/>
                <c:pt idx="0">
                  <c:v>Mod1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Sheet1!$H$3:$H$9</c:f>
              <c:numCache>
                <c:formatCode>General</c:formatCode>
                <c:ptCount val="7"/>
                <c:pt idx="0">
                  <c:v>2.5000000000000001E-2</c:v>
                </c:pt>
                <c:pt idx="1">
                  <c:v>0.05</c:v>
                </c:pt>
                <c:pt idx="2">
                  <c:v>7.4999999999999997E-2</c:v>
                </c:pt>
                <c:pt idx="3">
                  <c:v>0.1</c:v>
                </c:pt>
                <c:pt idx="4">
                  <c:v>0.125</c:v>
                </c:pt>
                <c:pt idx="5">
                  <c:v>0.17499999999999999</c:v>
                </c:pt>
                <c:pt idx="6">
                  <c:v>0.22500000000000001</c:v>
                </c:pt>
              </c:numCache>
            </c:numRef>
          </c:cat>
          <c:val>
            <c:numRef>
              <c:f>Sheet1!$L$3:$L$9</c:f>
              <c:numCache>
                <c:formatCode>General</c:formatCode>
                <c:ptCount val="7"/>
                <c:pt idx="0">
                  <c:v>0.3</c:v>
                </c:pt>
                <c:pt idx="1">
                  <c:v>0.57999999999999996</c:v>
                </c:pt>
                <c:pt idx="2">
                  <c:v>0.82</c:v>
                </c:pt>
                <c:pt idx="3">
                  <c:v>1.03</c:v>
                </c:pt>
                <c:pt idx="4">
                  <c:v>1.26</c:v>
                </c:pt>
                <c:pt idx="5">
                  <c:v>1.7</c:v>
                </c:pt>
                <c:pt idx="6">
                  <c:v>3.18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83-4964-87C0-53D165BC1A80}"/>
            </c:ext>
          </c:extLst>
        </c:ser>
        <c:ser>
          <c:idx val="4"/>
          <c:order val="4"/>
          <c:tx>
            <c:strRef>
              <c:f>Sheet1!$M$2</c:f>
              <c:strCache>
                <c:ptCount val="1"/>
                <c:pt idx="0">
                  <c:v>Mod2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714562141255417E-2"/>
                  <c:y val="-5.020737183220200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Sheet1!$H$3:$H$9</c:f>
              <c:numCache>
                <c:formatCode>General</c:formatCode>
                <c:ptCount val="7"/>
                <c:pt idx="0">
                  <c:v>2.5000000000000001E-2</c:v>
                </c:pt>
                <c:pt idx="1">
                  <c:v>0.05</c:v>
                </c:pt>
                <c:pt idx="2">
                  <c:v>7.4999999999999997E-2</c:v>
                </c:pt>
                <c:pt idx="3">
                  <c:v>0.1</c:v>
                </c:pt>
                <c:pt idx="4">
                  <c:v>0.125</c:v>
                </c:pt>
                <c:pt idx="5">
                  <c:v>0.17499999999999999</c:v>
                </c:pt>
                <c:pt idx="6">
                  <c:v>0.22500000000000001</c:v>
                </c:pt>
              </c:numCache>
            </c:numRef>
          </c:cat>
          <c:val>
            <c:numRef>
              <c:f>Sheet1!$M$3:$M$9</c:f>
              <c:numCache>
                <c:formatCode>General</c:formatCode>
                <c:ptCount val="7"/>
                <c:pt idx="0">
                  <c:v>0.3</c:v>
                </c:pt>
                <c:pt idx="1">
                  <c:v>0.57999999999999996</c:v>
                </c:pt>
                <c:pt idx="2">
                  <c:v>0.82</c:v>
                </c:pt>
                <c:pt idx="3">
                  <c:v>1.03</c:v>
                </c:pt>
                <c:pt idx="4">
                  <c:v>1.26</c:v>
                </c:pt>
                <c:pt idx="5">
                  <c:v>2.5499999999999998</c:v>
                </c:pt>
                <c:pt idx="6">
                  <c:v>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683-4964-87C0-53D165BC1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2155999"/>
        <c:axId val="1072157919"/>
      </c:lineChart>
      <c:catAx>
        <c:axId val="107215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157919"/>
        <c:crosses val="autoZero"/>
        <c:auto val="1"/>
        <c:lblAlgn val="ctr"/>
        <c:lblOffset val="100"/>
        <c:noMultiLvlLbl val="0"/>
      </c:catAx>
      <c:valAx>
        <c:axId val="107215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15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9.6845285421331598E-2"/>
          <c:y val="0.15015481068227077"/>
          <c:w val="0.40344021244877681"/>
          <c:h val="0.1931542413403817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520700</xdr:colOff>
      <xdr:row>14</xdr:row>
      <xdr:rowOff>114300</xdr:rowOff>
    </xdr:from>
    <xdr:to>
      <xdr:col>9</xdr:col>
      <xdr:colOff>457200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2B6EB6-FC2A-AEF1-D546-4285B1DE2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85725</xdr:colOff>
      <xdr:row>14</xdr:row>
      <xdr:rowOff>123825</xdr:rowOff>
    </xdr:from>
    <xdr:to>
      <xdr:col>14</xdr:col>
      <xdr:colOff>130175</xdr:colOff>
      <xdr:row>29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7C7FA1-A5E6-48DE-9906-6322D828D2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295275</xdr:colOff>
      <xdr:row>14</xdr:row>
      <xdr:rowOff>133350</xdr:rowOff>
    </xdr:from>
    <xdr:to>
      <xdr:col>18</xdr:col>
      <xdr:colOff>400050</xdr:colOff>
      <xdr:row>29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A6BA3A-FC33-4129-8B90-65EBECE6D0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123825</xdr:colOff>
      <xdr:row>14</xdr:row>
      <xdr:rowOff>171450</xdr:rowOff>
    </xdr:from>
    <xdr:to>
      <xdr:col>23</xdr:col>
      <xdr:colOff>228600</xdr:colOff>
      <xdr:row>29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590294-0261-4BEE-9FFC-A89C4024F0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561975</xdr:colOff>
      <xdr:row>14</xdr:row>
      <xdr:rowOff>161925</xdr:rowOff>
    </xdr:from>
    <xdr:to>
      <xdr:col>28</xdr:col>
      <xdr:colOff>57150</xdr:colOff>
      <xdr:row>29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51D87E6-97B0-4734-84DC-5DD16EAAB7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211136</xdr:colOff>
      <xdr:row>31</xdr:row>
      <xdr:rowOff>68261</xdr:rowOff>
    </xdr:from>
    <xdr:to>
      <xdr:col>21</xdr:col>
      <xdr:colOff>76200</xdr:colOff>
      <xdr:row>63</xdr:row>
      <xdr:rowOff>120650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28CA2B1-DB57-DA01-CDD4-261B65BA0E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2"/>
  <sheetViews>
    <sheetView tabSelected="1" topLeftCell="F1" workbookViewId="0">
      <selection activeCell="O9" sqref="O9"/>
    </sheetView>
  </sheetViews>
  <sheetFormatPr defaultRowHeight="14.5" x14ac:dyDescent="0.35"/>
  <cols>
    <col min="8" max="8" width="12" customWidth="1"/>
  </cols>
  <sheetData>
    <row r="2" spans="2:13" x14ac:dyDescent="0.35">
      <c r="H2" s="2"/>
      <c r="I2" s="2" t="s">
        <v>7</v>
      </c>
      <c r="J2" s="3">
        <v>0.25</v>
      </c>
      <c r="K2" s="3">
        <v>0.5</v>
      </c>
      <c r="L2" s="2" t="s">
        <v>11</v>
      </c>
      <c r="M2" s="2" t="s">
        <v>12</v>
      </c>
    </row>
    <row r="3" spans="2:13" x14ac:dyDescent="0.35">
      <c r="B3" t="s">
        <v>0</v>
      </c>
      <c r="H3" s="2">
        <v>2.5000000000000001E-2</v>
      </c>
      <c r="I3" s="4">
        <v>0.3</v>
      </c>
      <c r="J3" s="5">
        <f>I3*1.25</f>
        <v>0.375</v>
      </c>
      <c r="K3" s="6">
        <f>I3*1.5</f>
        <v>0.44999999999999996</v>
      </c>
      <c r="L3" s="7">
        <v>0.3</v>
      </c>
      <c r="M3" s="7">
        <v>0.3</v>
      </c>
    </row>
    <row r="4" spans="2:13" x14ac:dyDescent="0.35">
      <c r="B4" t="s">
        <v>1</v>
      </c>
      <c r="H4" s="2">
        <v>0.05</v>
      </c>
      <c r="I4" s="4">
        <v>0.57999999999999996</v>
      </c>
      <c r="J4" s="5">
        <f t="shared" ref="J4:L10" si="0">I4*1.25</f>
        <v>0.72499999999999998</v>
      </c>
      <c r="K4" s="6">
        <f t="shared" ref="K4:K10" si="1">I4*1.5</f>
        <v>0.86999999999999988</v>
      </c>
      <c r="L4" s="7">
        <v>0.57999999999999996</v>
      </c>
      <c r="M4" s="7">
        <v>0.57999999999999996</v>
      </c>
    </row>
    <row r="5" spans="2:13" x14ac:dyDescent="0.35">
      <c r="B5" t="s">
        <v>2</v>
      </c>
      <c r="H5" s="2">
        <v>7.4999999999999997E-2</v>
      </c>
      <c r="I5" s="4">
        <v>0.82</v>
      </c>
      <c r="J5" s="5">
        <f t="shared" si="0"/>
        <v>1.0249999999999999</v>
      </c>
      <c r="K5" s="6">
        <f t="shared" si="1"/>
        <v>1.23</v>
      </c>
      <c r="L5" s="7">
        <v>0.82</v>
      </c>
      <c r="M5" s="7">
        <v>0.82</v>
      </c>
    </row>
    <row r="6" spans="2:13" x14ac:dyDescent="0.35">
      <c r="B6" t="s">
        <v>3</v>
      </c>
      <c r="H6" s="2">
        <v>0.1</v>
      </c>
      <c r="I6" s="4">
        <v>1.03</v>
      </c>
      <c r="J6" s="5">
        <f t="shared" si="0"/>
        <v>1.2875000000000001</v>
      </c>
      <c r="K6" s="6">
        <f t="shared" si="1"/>
        <v>1.5449999999999999</v>
      </c>
      <c r="L6" s="7">
        <v>1.03</v>
      </c>
      <c r="M6" s="7">
        <v>1.03</v>
      </c>
    </row>
    <row r="7" spans="2:13" x14ac:dyDescent="0.35">
      <c r="B7" t="s">
        <v>4</v>
      </c>
      <c r="H7" s="2">
        <v>0.125</v>
      </c>
      <c r="I7" s="4">
        <v>1.26</v>
      </c>
      <c r="J7" s="5">
        <f t="shared" si="0"/>
        <v>1.575</v>
      </c>
      <c r="K7" s="6">
        <f t="shared" si="1"/>
        <v>1.8900000000000001</v>
      </c>
      <c r="L7" s="7">
        <v>1.26</v>
      </c>
      <c r="M7" s="7">
        <v>1.26</v>
      </c>
    </row>
    <row r="8" spans="2:13" x14ac:dyDescent="0.35">
      <c r="B8" t="s">
        <v>5</v>
      </c>
      <c r="H8" s="2">
        <v>0.17499999999999999</v>
      </c>
      <c r="I8" s="4">
        <v>1.7</v>
      </c>
      <c r="J8" s="5">
        <f t="shared" si="0"/>
        <v>2.125</v>
      </c>
      <c r="K8" s="6">
        <f t="shared" si="1"/>
        <v>2.5499999999999998</v>
      </c>
      <c r="L8" s="7">
        <v>1.7</v>
      </c>
      <c r="M8" s="7">
        <v>2.5499999999999998</v>
      </c>
    </row>
    <row r="9" spans="2:13" x14ac:dyDescent="0.35">
      <c r="B9" t="s">
        <v>6</v>
      </c>
      <c r="H9" s="2">
        <v>0.22500000000000001</v>
      </c>
      <c r="I9" s="4">
        <v>2.12</v>
      </c>
      <c r="J9" s="5">
        <f t="shared" si="0"/>
        <v>2.6500000000000004</v>
      </c>
      <c r="K9" s="6">
        <f t="shared" si="1"/>
        <v>3.18</v>
      </c>
      <c r="L9" s="5">
        <v>3.18</v>
      </c>
      <c r="M9" s="6">
        <v>2.12</v>
      </c>
    </row>
    <row r="10" spans="2:13" x14ac:dyDescent="0.35">
      <c r="H10" s="2" t="s">
        <v>8</v>
      </c>
      <c r="I10" s="1">
        <f>SLOPE(I3:I9,$H$3:$H$9)</f>
        <v>8.9976047904191621</v>
      </c>
      <c r="J10" s="1">
        <f t="shared" ref="J10:M10" si="2">SLOPE(J3:J9,$H$3:$H$9)</f>
        <v>11.247005988023954</v>
      </c>
      <c r="K10" s="1">
        <f t="shared" si="2"/>
        <v>13.496407185628744</v>
      </c>
      <c r="L10" s="1">
        <f t="shared" si="2"/>
        <v>13.059880239520959</v>
      </c>
      <c r="M10" s="1">
        <f t="shared" si="2"/>
        <v>10.829940119760479</v>
      </c>
    </row>
    <row r="11" spans="2:13" x14ac:dyDescent="0.35">
      <c r="H11" s="2" t="s">
        <v>9</v>
      </c>
      <c r="I11" s="2" t="s">
        <v>10</v>
      </c>
      <c r="J11" s="8">
        <f>(J10-$I$10)/$I$10</f>
        <v>0.25000000000000017</v>
      </c>
      <c r="K11" s="8">
        <f t="shared" ref="K11:M11" si="3">(K10-$I$10)/$I$10</f>
        <v>0.50000000000000011</v>
      </c>
      <c r="L11" s="8">
        <f t="shared" si="3"/>
        <v>0.45148409423665653</v>
      </c>
      <c r="M11" s="8">
        <f t="shared" si="3"/>
        <v>0.20364701184613337</v>
      </c>
    </row>
    <row r="12" spans="2:13" x14ac:dyDescent="0.35">
      <c r="H12" s="1" t="s">
        <v>13</v>
      </c>
      <c r="I12" s="1">
        <f>INTERCEPT(I3:I9,$H$3:$H$9)</f>
        <v>0.11955089820359266</v>
      </c>
      <c r="J12" s="1">
        <f t="shared" ref="J12:M12" si="4">INTERCEPT(J3:J9,$H$3:$H$9)</f>
        <v>0.1494386227544906</v>
      </c>
      <c r="K12" s="1">
        <f t="shared" si="4"/>
        <v>0.17932634730538877</v>
      </c>
      <c r="L12" s="1">
        <f t="shared" si="4"/>
        <v>-0.17877245508982065</v>
      </c>
      <c r="M12" s="1">
        <f t="shared" si="4"/>
        <v>3.8113772455089734E-2</v>
      </c>
    </row>
  </sheetData>
  <conditionalFormatting sqref="I3:M3">
    <cfRule type="colorScale" priority="8">
      <colorScale>
        <cfvo type="min"/>
        <cfvo type="max"/>
        <color rgb="FFFCFCFF"/>
        <color rgb="FF63BE7B"/>
      </colorScale>
    </cfRule>
  </conditionalFormatting>
  <conditionalFormatting sqref="I4:M4">
    <cfRule type="colorScale" priority="7">
      <colorScale>
        <cfvo type="min"/>
        <cfvo type="max"/>
        <color rgb="FFFCFCFF"/>
        <color rgb="FF63BE7B"/>
      </colorScale>
    </cfRule>
  </conditionalFormatting>
  <conditionalFormatting sqref="I5:M5">
    <cfRule type="colorScale" priority="6">
      <colorScale>
        <cfvo type="min"/>
        <cfvo type="max"/>
        <color rgb="FFFCFCFF"/>
        <color rgb="FF63BE7B"/>
      </colorScale>
    </cfRule>
  </conditionalFormatting>
  <conditionalFormatting sqref="I6:M6">
    <cfRule type="colorScale" priority="5">
      <colorScale>
        <cfvo type="min"/>
        <cfvo type="max"/>
        <color rgb="FFFCFCFF"/>
        <color rgb="FF63BE7B"/>
      </colorScale>
    </cfRule>
  </conditionalFormatting>
  <conditionalFormatting sqref="I7:M7">
    <cfRule type="colorScale" priority="4">
      <colorScale>
        <cfvo type="min"/>
        <cfvo type="max"/>
        <color rgb="FFFCFCFF"/>
        <color rgb="FF63BE7B"/>
      </colorScale>
    </cfRule>
  </conditionalFormatting>
  <conditionalFormatting sqref="I8:M8">
    <cfRule type="colorScale" priority="3">
      <colorScale>
        <cfvo type="min"/>
        <cfvo type="max"/>
        <color rgb="FFFCFCFF"/>
        <color rgb="FF63BE7B"/>
      </colorScale>
    </cfRule>
  </conditionalFormatting>
  <conditionalFormatting sqref="I9:M9">
    <cfRule type="colorScale" priority="2">
      <colorScale>
        <cfvo type="min"/>
        <cfvo type="max"/>
        <color rgb="FFFCFCFF"/>
        <color rgb="FF63BE7B"/>
      </colorScale>
    </cfRule>
  </conditionalFormatting>
  <conditionalFormatting sqref="I10:M1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Alvarez</dc:creator>
  <cp:lastModifiedBy>Daniel Alvarez</cp:lastModifiedBy>
  <dcterms:created xsi:type="dcterms:W3CDTF">2015-06-05T18:17:20Z</dcterms:created>
  <dcterms:modified xsi:type="dcterms:W3CDTF">2026-02-04T01:25:50Z</dcterms:modified>
</cp:coreProperties>
</file>